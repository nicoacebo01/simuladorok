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inanciera\Gestion Financiera\Condiciones Comerciales - Convenios Tarjetas\Simulador online\simulador ok\public\"/>
    </mc:Choice>
  </mc:AlternateContent>
  <xr:revisionPtr revIDLastSave="0" documentId="13_ncr:1_{76CC7D33-D252-4488-966A-9F0D3E485763}" xr6:coauthVersionLast="47" xr6:coauthVersionMax="47" xr10:uidLastSave="{00000000-0000-0000-0000-000000000000}"/>
  <bookViews>
    <workbookView xWindow="-120" yWindow="-120" windowWidth="20730" windowHeight="11040" xr2:uid="{5F5C8F4A-A9C3-4394-B81C-80D194F2AEAA}"/>
  </bookViews>
  <sheets>
    <sheet name="Hoja4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1" i="1" l="1"/>
  <c r="I121" i="1"/>
  <c r="K121" i="1" s="1"/>
  <c r="L121" i="1" s="1"/>
  <c r="H121" i="1"/>
  <c r="G121" i="1"/>
  <c r="F121" i="1"/>
  <c r="C121" i="1"/>
  <c r="A121" i="1"/>
  <c r="I120" i="1"/>
  <c r="K120" i="1" s="1"/>
  <c r="L120" i="1" s="1"/>
  <c r="H120" i="1"/>
  <c r="J120" i="1" s="1"/>
  <c r="G120" i="1"/>
  <c r="F120" i="1"/>
  <c r="C120" i="1"/>
  <c r="A120" i="1"/>
  <c r="I119" i="1"/>
  <c r="K119" i="1" s="1"/>
  <c r="L119" i="1" s="1"/>
  <c r="H119" i="1"/>
  <c r="J119" i="1" s="1"/>
  <c r="G119" i="1"/>
  <c r="F119" i="1"/>
  <c r="C119" i="1"/>
  <c r="A119" i="1"/>
  <c r="I118" i="1"/>
  <c r="K118" i="1" s="1"/>
  <c r="L118" i="1" s="1"/>
  <c r="H118" i="1"/>
  <c r="J118" i="1" s="1"/>
  <c r="G118" i="1"/>
  <c r="F118" i="1"/>
  <c r="C118" i="1"/>
  <c r="A118" i="1"/>
  <c r="I117" i="1"/>
  <c r="K117" i="1" s="1"/>
  <c r="L117" i="1" s="1"/>
  <c r="H117" i="1"/>
  <c r="J117" i="1" s="1"/>
  <c r="G117" i="1"/>
  <c r="F117" i="1"/>
  <c r="C117" i="1"/>
  <c r="A117" i="1"/>
  <c r="I116" i="1"/>
  <c r="H116" i="1"/>
  <c r="G116" i="1"/>
  <c r="F116" i="1"/>
  <c r="J116" i="1" s="1"/>
  <c r="K116" i="1" s="1"/>
  <c r="L116" i="1" s="1"/>
  <c r="C116" i="1"/>
  <c r="A116" i="1"/>
  <c r="I115" i="1"/>
  <c r="K115" i="1" s="1"/>
  <c r="L115" i="1" s="1"/>
  <c r="H115" i="1"/>
  <c r="J115" i="1" s="1"/>
  <c r="G115" i="1"/>
  <c r="F115" i="1"/>
  <c r="C115" i="1"/>
  <c r="A115" i="1"/>
  <c r="I114" i="1"/>
  <c r="K114" i="1" s="1"/>
  <c r="L114" i="1" s="1"/>
  <c r="H114" i="1"/>
  <c r="G114" i="1"/>
  <c r="F114" i="1"/>
  <c r="J114" i="1" s="1"/>
  <c r="C114" i="1"/>
  <c r="A114" i="1"/>
  <c r="J113" i="1"/>
  <c r="I113" i="1"/>
  <c r="K113" i="1" s="1"/>
  <c r="L113" i="1" s="1"/>
  <c r="H113" i="1"/>
  <c r="G113" i="1"/>
  <c r="F113" i="1"/>
  <c r="C113" i="1"/>
  <c r="A113" i="1"/>
  <c r="I112" i="1"/>
  <c r="H112" i="1"/>
  <c r="G112" i="1"/>
  <c r="F112" i="1"/>
  <c r="J112" i="1" s="1"/>
  <c r="K112" i="1" s="1"/>
  <c r="L112" i="1" s="1"/>
  <c r="C112" i="1"/>
  <c r="A112" i="1"/>
  <c r="I111" i="1"/>
  <c r="K111" i="1" s="1"/>
  <c r="L111" i="1" s="1"/>
  <c r="H111" i="1"/>
  <c r="J111" i="1" s="1"/>
  <c r="G111" i="1"/>
  <c r="F111" i="1"/>
  <c r="C111" i="1"/>
  <c r="A111" i="1"/>
  <c r="I110" i="1"/>
  <c r="H110" i="1"/>
  <c r="G110" i="1"/>
  <c r="F110" i="1"/>
  <c r="J110" i="1" s="1"/>
  <c r="C110" i="1"/>
  <c r="A110" i="1"/>
  <c r="J109" i="1"/>
  <c r="I109" i="1"/>
  <c r="K109" i="1" s="1"/>
  <c r="L109" i="1" s="1"/>
  <c r="H109" i="1"/>
  <c r="G109" i="1"/>
  <c r="F109" i="1"/>
  <c r="C109" i="1"/>
  <c r="A109" i="1"/>
  <c r="I108" i="1"/>
  <c r="H108" i="1"/>
  <c r="G108" i="1"/>
  <c r="F108" i="1"/>
  <c r="J108" i="1" s="1"/>
  <c r="K108" i="1" s="1"/>
  <c r="L108" i="1" s="1"/>
  <c r="C108" i="1"/>
  <c r="A108" i="1"/>
  <c r="I107" i="1"/>
  <c r="K107" i="1" s="1"/>
  <c r="L107" i="1" s="1"/>
  <c r="H107" i="1"/>
  <c r="J107" i="1" s="1"/>
  <c r="G107" i="1"/>
  <c r="F107" i="1"/>
  <c r="C107" i="1"/>
  <c r="A107" i="1"/>
  <c r="I106" i="1"/>
  <c r="H106" i="1"/>
  <c r="G106" i="1"/>
  <c r="F106" i="1"/>
  <c r="J106" i="1" s="1"/>
  <c r="K106" i="1" s="1"/>
  <c r="L106" i="1" s="1"/>
  <c r="C106" i="1"/>
  <c r="A106" i="1"/>
  <c r="J105" i="1"/>
  <c r="I105" i="1"/>
  <c r="K105" i="1" s="1"/>
  <c r="L105" i="1" s="1"/>
  <c r="H105" i="1"/>
  <c r="G105" i="1"/>
  <c r="F105" i="1"/>
  <c r="C105" i="1"/>
  <c r="A105" i="1"/>
  <c r="I104" i="1"/>
  <c r="H104" i="1"/>
  <c r="G104" i="1"/>
  <c r="F104" i="1"/>
  <c r="J104" i="1" s="1"/>
  <c r="K104" i="1" s="1"/>
  <c r="L104" i="1" s="1"/>
  <c r="C104" i="1"/>
  <c r="A104" i="1"/>
  <c r="I103" i="1"/>
  <c r="H103" i="1"/>
  <c r="J103" i="1" s="1"/>
  <c r="G103" i="1"/>
  <c r="F103" i="1"/>
  <c r="C103" i="1"/>
  <c r="A103" i="1"/>
  <c r="I102" i="1"/>
  <c r="H102" i="1"/>
  <c r="G102" i="1"/>
  <c r="F102" i="1"/>
  <c r="J102" i="1" s="1"/>
  <c r="K102" i="1" s="1"/>
  <c r="L102" i="1" s="1"/>
  <c r="C102" i="1"/>
  <c r="A102" i="1"/>
  <c r="J101" i="1"/>
  <c r="I101" i="1"/>
  <c r="K101" i="1" s="1"/>
  <c r="L101" i="1" s="1"/>
  <c r="G101" i="1"/>
  <c r="F101" i="1"/>
  <c r="C101" i="1"/>
  <c r="A101" i="1"/>
  <c r="K100" i="1"/>
  <c r="L100" i="1" s="1"/>
  <c r="J100" i="1"/>
  <c r="I100" i="1"/>
  <c r="G100" i="1"/>
  <c r="F100" i="1"/>
  <c r="C100" i="1"/>
  <c r="A100" i="1"/>
  <c r="K99" i="1"/>
  <c r="L99" i="1" s="1"/>
  <c r="J99" i="1"/>
  <c r="I99" i="1"/>
  <c r="G99" i="1"/>
  <c r="F99" i="1"/>
  <c r="C99" i="1"/>
  <c r="A99" i="1"/>
  <c r="J98" i="1"/>
  <c r="I98" i="1"/>
  <c r="K98" i="1" s="1"/>
  <c r="L98" i="1" s="1"/>
  <c r="G98" i="1"/>
  <c r="F98" i="1"/>
  <c r="C98" i="1"/>
  <c r="A98" i="1"/>
  <c r="K97" i="1"/>
  <c r="L97" i="1" s="1"/>
  <c r="J97" i="1"/>
  <c r="I97" i="1"/>
  <c r="G97" i="1"/>
  <c r="F97" i="1"/>
  <c r="C97" i="1"/>
  <c r="A97" i="1"/>
  <c r="K96" i="1"/>
  <c r="L96" i="1" s="1"/>
  <c r="J96" i="1"/>
  <c r="I96" i="1"/>
  <c r="G96" i="1"/>
  <c r="F96" i="1"/>
  <c r="C96" i="1"/>
  <c r="A96" i="1"/>
  <c r="J95" i="1"/>
  <c r="I95" i="1"/>
  <c r="K95" i="1" s="1"/>
  <c r="L95" i="1" s="1"/>
  <c r="G95" i="1"/>
  <c r="F95" i="1"/>
  <c r="C95" i="1"/>
  <c r="A95" i="1"/>
  <c r="K94" i="1"/>
  <c r="L94" i="1" s="1"/>
  <c r="J94" i="1"/>
  <c r="I94" i="1"/>
  <c r="G94" i="1"/>
  <c r="F94" i="1"/>
  <c r="C94" i="1"/>
  <c r="A94" i="1"/>
  <c r="K93" i="1"/>
  <c r="L93" i="1" s="1"/>
  <c r="J93" i="1"/>
  <c r="I93" i="1"/>
  <c r="G93" i="1"/>
  <c r="F93" i="1"/>
  <c r="C93" i="1"/>
  <c r="A93" i="1"/>
  <c r="J92" i="1"/>
  <c r="I92" i="1"/>
  <c r="K92" i="1" s="1"/>
  <c r="L92" i="1" s="1"/>
  <c r="G92" i="1"/>
  <c r="F92" i="1"/>
  <c r="C92" i="1"/>
  <c r="A92" i="1"/>
  <c r="K91" i="1"/>
  <c r="L91" i="1" s="1"/>
  <c r="J91" i="1"/>
  <c r="I91" i="1"/>
  <c r="G91" i="1"/>
  <c r="F91" i="1"/>
  <c r="C91" i="1"/>
  <c r="A91" i="1"/>
  <c r="K90" i="1"/>
  <c r="L90" i="1" s="1"/>
  <c r="J90" i="1"/>
  <c r="I90" i="1"/>
  <c r="G90" i="1"/>
  <c r="F90" i="1"/>
  <c r="C90" i="1"/>
  <c r="A90" i="1"/>
  <c r="J89" i="1"/>
  <c r="I89" i="1"/>
  <c r="K89" i="1" s="1"/>
  <c r="L89" i="1" s="1"/>
  <c r="G89" i="1"/>
  <c r="F89" i="1"/>
  <c r="C89" i="1"/>
  <c r="A89" i="1"/>
  <c r="K88" i="1"/>
  <c r="L88" i="1" s="1"/>
  <c r="J88" i="1"/>
  <c r="I88" i="1"/>
  <c r="G88" i="1"/>
  <c r="F88" i="1"/>
  <c r="C88" i="1"/>
  <c r="A88" i="1"/>
  <c r="K87" i="1"/>
  <c r="L87" i="1" s="1"/>
  <c r="J87" i="1"/>
  <c r="I87" i="1"/>
  <c r="G87" i="1"/>
  <c r="F87" i="1"/>
  <c r="C87" i="1"/>
  <c r="A87" i="1"/>
  <c r="J86" i="1"/>
  <c r="I86" i="1"/>
  <c r="K86" i="1" s="1"/>
  <c r="L86" i="1" s="1"/>
  <c r="G86" i="1"/>
  <c r="F86" i="1"/>
  <c r="C86" i="1"/>
  <c r="A86" i="1"/>
  <c r="K85" i="1"/>
  <c r="L85" i="1" s="1"/>
  <c r="J85" i="1"/>
  <c r="I85" i="1"/>
  <c r="G85" i="1"/>
  <c r="F85" i="1"/>
  <c r="C85" i="1"/>
  <c r="A85" i="1"/>
  <c r="K84" i="1"/>
  <c r="L84" i="1" s="1"/>
  <c r="J84" i="1"/>
  <c r="I84" i="1"/>
  <c r="G84" i="1"/>
  <c r="F84" i="1"/>
  <c r="C84" i="1"/>
  <c r="A84" i="1"/>
  <c r="J83" i="1"/>
  <c r="I83" i="1"/>
  <c r="K83" i="1" s="1"/>
  <c r="L83" i="1" s="1"/>
  <c r="G83" i="1"/>
  <c r="F83" i="1"/>
  <c r="C83" i="1"/>
  <c r="A83" i="1"/>
  <c r="K82" i="1"/>
  <c r="L82" i="1" s="1"/>
  <c r="J82" i="1"/>
  <c r="I82" i="1"/>
  <c r="G82" i="1"/>
  <c r="F82" i="1"/>
  <c r="C82" i="1"/>
  <c r="A82" i="1"/>
  <c r="K81" i="1"/>
  <c r="L81" i="1" s="1"/>
  <c r="J81" i="1"/>
  <c r="I81" i="1"/>
  <c r="G81" i="1"/>
  <c r="F81" i="1"/>
  <c r="C81" i="1"/>
  <c r="A81" i="1"/>
  <c r="J80" i="1"/>
  <c r="I80" i="1"/>
  <c r="K80" i="1" s="1"/>
  <c r="L80" i="1" s="1"/>
  <c r="G80" i="1"/>
  <c r="F80" i="1"/>
  <c r="C80" i="1"/>
  <c r="A80" i="1"/>
  <c r="K79" i="1"/>
  <c r="L79" i="1" s="1"/>
  <c r="J79" i="1"/>
  <c r="I79" i="1"/>
  <c r="G79" i="1"/>
  <c r="F79" i="1"/>
  <c r="C79" i="1"/>
  <c r="A79" i="1"/>
  <c r="K78" i="1"/>
  <c r="L78" i="1" s="1"/>
  <c r="J78" i="1"/>
  <c r="I78" i="1"/>
  <c r="G78" i="1"/>
  <c r="F78" i="1"/>
  <c r="C78" i="1"/>
  <c r="A78" i="1"/>
  <c r="J77" i="1"/>
  <c r="I77" i="1"/>
  <c r="K77" i="1" s="1"/>
  <c r="L77" i="1" s="1"/>
  <c r="G77" i="1"/>
  <c r="F77" i="1"/>
  <c r="C77" i="1"/>
  <c r="A77" i="1"/>
  <c r="K76" i="1"/>
  <c r="L76" i="1" s="1"/>
  <c r="J76" i="1"/>
  <c r="I76" i="1"/>
  <c r="G76" i="1"/>
  <c r="F76" i="1"/>
  <c r="C76" i="1"/>
  <c r="A76" i="1"/>
  <c r="K75" i="1"/>
  <c r="L75" i="1" s="1"/>
  <c r="J75" i="1"/>
  <c r="I75" i="1"/>
  <c r="G75" i="1"/>
  <c r="F75" i="1"/>
  <c r="C75" i="1"/>
  <c r="A75" i="1"/>
  <c r="J74" i="1"/>
  <c r="I74" i="1"/>
  <c r="K74" i="1" s="1"/>
  <c r="L74" i="1" s="1"/>
  <c r="G74" i="1"/>
  <c r="F74" i="1"/>
  <c r="C74" i="1"/>
  <c r="A74" i="1"/>
  <c r="K73" i="1"/>
  <c r="L73" i="1" s="1"/>
  <c r="J73" i="1"/>
  <c r="I73" i="1"/>
  <c r="G73" i="1"/>
  <c r="F73" i="1"/>
  <c r="C73" i="1"/>
  <c r="A73" i="1"/>
  <c r="K72" i="1"/>
  <c r="L72" i="1" s="1"/>
  <c r="J72" i="1"/>
  <c r="I72" i="1"/>
  <c r="G72" i="1"/>
  <c r="F72" i="1"/>
  <c r="C72" i="1"/>
  <c r="A72" i="1"/>
  <c r="J71" i="1"/>
  <c r="I71" i="1"/>
  <c r="K71" i="1" s="1"/>
  <c r="L71" i="1" s="1"/>
  <c r="G71" i="1"/>
  <c r="F71" i="1"/>
  <c r="C71" i="1"/>
  <c r="A71" i="1"/>
  <c r="K70" i="1"/>
  <c r="L70" i="1" s="1"/>
  <c r="J70" i="1"/>
  <c r="I70" i="1"/>
  <c r="G70" i="1"/>
  <c r="F70" i="1"/>
  <c r="C70" i="1"/>
  <c r="A70" i="1"/>
  <c r="K69" i="1"/>
  <c r="L69" i="1" s="1"/>
  <c r="J69" i="1"/>
  <c r="I69" i="1"/>
  <c r="G69" i="1"/>
  <c r="F69" i="1"/>
  <c r="C69" i="1"/>
  <c r="A69" i="1"/>
  <c r="J68" i="1"/>
  <c r="I68" i="1"/>
  <c r="K68" i="1" s="1"/>
  <c r="L68" i="1" s="1"/>
  <c r="G68" i="1"/>
  <c r="F68" i="1"/>
  <c r="C68" i="1"/>
  <c r="A68" i="1"/>
  <c r="K67" i="1"/>
  <c r="L67" i="1" s="1"/>
  <c r="J67" i="1"/>
  <c r="I67" i="1"/>
  <c r="G67" i="1"/>
  <c r="F67" i="1"/>
  <c r="C67" i="1"/>
  <c r="A67" i="1"/>
  <c r="K66" i="1"/>
  <c r="L66" i="1" s="1"/>
  <c r="J66" i="1"/>
  <c r="I66" i="1"/>
  <c r="G66" i="1"/>
  <c r="F66" i="1"/>
  <c r="C66" i="1"/>
  <c r="A66" i="1"/>
  <c r="J65" i="1"/>
  <c r="I65" i="1"/>
  <c r="K65" i="1" s="1"/>
  <c r="L65" i="1" s="1"/>
  <c r="G65" i="1"/>
  <c r="F65" i="1"/>
  <c r="C65" i="1"/>
  <c r="A65" i="1"/>
  <c r="J64" i="1"/>
  <c r="K64" i="1" s="1"/>
  <c r="L64" i="1" s="1"/>
  <c r="I64" i="1"/>
  <c r="G64" i="1"/>
  <c r="F64" i="1"/>
  <c r="C64" i="1"/>
  <c r="A64" i="1"/>
  <c r="K63" i="1"/>
  <c r="L63" i="1" s="1"/>
  <c r="J63" i="1"/>
  <c r="I63" i="1"/>
  <c r="G63" i="1"/>
  <c r="F63" i="1"/>
  <c r="C63" i="1"/>
  <c r="A63" i="1"/>
  <c r="J62" i="1"/>
  <c r="I62" i="1"/>
  <c r="K62" i="1" s="1"/>
  <c r="L62" i="1" s="1"/>
  <c r="G62" i="1"/>
  <c r="F62" i="1"/>
  <c r="C62" i="1"/>
  <c r="A62" i="1"/>
  <c r="J61" i="1"/>
  <c r="K61" i="1" s="1"/>
  <c r="L61" i="1" s="1"/>
  <c r="I61" i="1"/>
  <c r="G61" i="1"/>
  <c r="F61" i="1"/>
  <c r="C61" i="1"/>
  <c r="A61" i="1"/>
  <c r="K60" i="1"/>
  <c r="L60" i="1" s="1"/>
  <c r="J60" i="1"/>
  <c r="I60" i="1"/>
  <c r="G60" i="1"/>
  <c r="F60" i="1"/>
  <c r="C60" i="1"/>
  <c r="A60" i="1"/>
  <c r="J59" i="1"/>
  <c r="I59" i="1"/>
  <c r="K59" i="1" s="1"/>
  <c r="L59" i="1" s="1"/>
  <c r="G59" i="1"/>
  <c r="F59" i="1"/>
  <c r="C59" i="1"/>
  <c r="A59" i="1"/>
  <c r="J58" i="1"/>
  <c r="K58" i="1" s="1"/>
  <c r="L58" i="1" s="1"/>
  <c r="I58" i="1"/>
  <c r="H58" i="1"/>
  <c r="G58" i="1"/>
  <c r="F58" i="1"/>
  <c r="C58" i="1"/>
  <c r="A58" i="1"/>
  <c r="I57" i="1"/>
  <c r="H57" i="1"/>
  <c r="J57" i="1" s="1"/>
  <c r="K57" i="1" s="1"/>
  <c r="L57" i="1" s="1"/>
  <c r="G57" i="1"/>
  <c r="F57" i="1"/>
  <c r="C57" i="1"/>
  <c r="A57" i="1"/>
  <c r="I56" i="1"/>
  <c r="K56" i="1" s="1"/>
  <c r="L56" i="1" s="1"/>
  <c r="H56" i="1"/>
  <c r="J56" i="1" s="1"/>
  <c r="G56" i="1"/>
  <c r="F56" i="1"/>
  <c r="C56" i="1"/>
  <c r="A56" i="1"/>
  <c r="I55" i="1"/>
  <c r="K55" i="1" s="1"/>
  <c r="L55" i="1" s="1"/>
  <c r="H55" i="1"/>
  <c r="J55" i="1" s="1"/>
  <c r="G55" i="1"/>
  <c r="F55" i="1"/>
  <c r="C55" i="1"/>
  <c r="A55" i="1"/>
  <c r="J54" i="1"/>
  <c r="K54" i="1" s="1"/>
  <c r="L54" i="1" s="1"/>
  <c r="I54" i="1"/>
  <c r="H54" i="1"/>
  <c r="G54" i="1"/>
  <c r="F54" i="1"/>
  <c r="C54" i="1"/>
  <c r="A54" i="1"/>
  <c r="I53" i="1"/>
  <c r="H53" i="1"/>
  <c r="J53" i="1" s="1"/>
  <c r="K53" i="1" s="1"/>
  <c r="L53" i="1" s="1"/>
  <c r="G53" i="1"/>
  <c r="F53" i="1"/>
  <c r="C53" i="1"/>
  <c r="A53" i="1"/>
  <c r="I52" i="1"/>
  <c r="K52" i="1" s="1"/>
  <c r="L52" i="1" s="1"/>
  <c r="H52" i="1"/>
  <c r="J52" i="1" s="1"/>
  <c r="G52" i="1"/>
  <c r="F52" i="1"/>
  <c r="C52" i="1"/>
  <c r="A52" i="1"/>
  <c r="I51" i="1"/>
  <c r="H51" i="1"/>
  <c r="J51" i="1" s="1"/>
  <c r="G51" i="1"/>
  <c r="F51" i="1"/>
  <c r="C51" i="1"/>
  <c r="A51" i="1"/>
  <c r="J50" i="1"/>
  <c r="K50" i="1" s="1"/>
  <c r="L50" i="1" s="1"/>
  <c r="I50" i="1"/>
  <c r="H50" i="1"/>
  <c r="G50" i="1"/>
  <c r="F50" i="1"/>
  <c r="C50" i="1"/>
  <c r="A50" i="1"/>
  <c r="I49" i="1"/>
  <c r="H49" i="1"/>
  <c r="J49" i="1" s="1"/>
  <c r="K49" i="1" s="1"/>
  <c r="L49" i="1" s="1"/>
  <c r="G49" i="1"/>
  <c r="F49" i="1"/>
  <c r="C49" i="1"/>
  <c r="A49" i="1"/>
  <c r="I48" i="1"/>
  <c r="H48" i="1"/>
  <c r="J48" i="1" s="1"/>
  <c r="G48" i="1"/>
  <c r="F48" i="1"/>
  <c r="C48" i="1"/>
  <c r="A48" i="1"/>
  <c r="I47" i="1"/>
  <c r="K47" i="1" s="1"/>
  <c r="L47" i="1" s="1"/>
  <c r="H47" i="1"/>
  <c r="J47" i="1" s="1"/>
  <c r="G47" i="1"/>
  <c r="F47" i="1"/>
  <c r="C47" i="1"/>
  <c r="A47" i="1"/>
  <c r="J46" i="1"/>
  <c r="K46" i="1" s="1"/>
  <c r="L46" i="1" s="1"/>
  <c r="I46" i="1"/>
  <c r="H46" i="1"/>
  <c r="G46" i="1"/>
  <c r="F46" i="1"/>
  <c r="C46" i="1"/>
  <c r="A46" i="1"/>
  <c r="I45" i="1"/>
  <c r="H45" i="1"/>
  <c r="J45" i="1" s="1"/>
  <c r="K45" i="1" s="1"/>
  <c r="L45" i="1" s="1"/>
  <c r="G45" i="1"/>
  <c r="F45" i="1"/>
  <c r="C45" i="1"/>
  <c r="A45" i="1"/>
  <c r="I44" i="1"/>
  <c r="H44" i="1"/>
  <c r="J44" i="1" s="1"/>
  <c r="G44" i="1"/>
  <c r="F44" i="1"/>
  <c r="C44" i="1"/>
  <c r="A44" i="1"/>
  <c r="I43" i="1"/>
  <c r="H43" i="1"/>
  <c r="J43" i="1" s="1"/>
  <c r="G43" i="1"/>
  <c r="F43" i="1"/>
  <c r="C43" i="1"/>
  <c r="A43" i="1"/>
  <c r="J42" i="1"/>
  <c r="K42" i="1" s="1"/>
  <c r="L42" i="1" s="1"/>
  <c r="I42" i="1"/>
  <c r="H42" i="1"/>
  <c r="G42" i="1"/>
  <c r="F42" i="1"/>
  <c r="C42" i="1"/>
  <c r="A42" i="1"/>
  <c r="I41" i="1"/>
  <c r="H41" i="1"/>
  <c r="J41" i="1" s="1"/>
  <c r="K41" i="1" s="1"/>
  <c r="L41" i="1" s="1"/>
  <c r="G41" i="1"/>
  <c r="F41" i="1"/>
  <c r="C41" i="1"/>
  <c r="A41" i="1"/>
  <c r="I40" i="1"/>
  <c r="H40" i="1"/>
  <c r="J40" i="1" s="1"/>
  <c r="G40" i="1"/>
  <c r="F40" i="1"/>
  <c r="C40" i="1"/>
  <c r="A40" i="1"/>
  <c r="I39" i="1"/>
  <c r="H39" i="1"/>
  <c r="J39" i="1" s="1"/>
  <c r="G39" i="1"/>
  <c r="F39" i="1"/>
  <c r="C39" i="1"/>
  <c r="A39" i="1"/>
  <c r="J38" i="1"/>
  <c r="K38" i="1" s="1"/>
  <c r="L38" i="1" s="1"/>
  <c r="I38" i="1"/>
  <c r="H38" i="1"/>
  <c r="G38" i="1"/>
  <c r="F38" i="1"/>
  <c r="C38" i="1"/>
  <c r="A38" i="1"/>
  <c r="I37" i="1"/>
  <c r="H37" i="1"/>
  <c r="J37" i="1" s="1"/>
  <c r="K37" i="1" s="1"/>
  <c r="L37" i="1" s="1"/>
  <c r="G37" i="1"/>
  <c r="F37" i="1"/>
  <c r="C37" i="1"/>
  <c r="A37" i="1"/>
  <c r="I36" i="1"/>
  <c r="H36" i="1"/>
  <c r="J36" i="1" s="1"/>
  <c r="G36" i="1"/>
  <c r="F36" i="1"/>
  <c r="C36" i="1"/>
  <c r="A36" i="1"/>
  <c r="I35" i="1"/>
  <c r="H35" i="1"/>
  <c r="J35" i="1" s="1"/>
  <c r="G35" i="1"/>
  <c r="F35" i="1"/>
  <c r="C35" i="1"/>
  <c r="A35" i="1"/>
  <c r="J34" i="1"/>
  <c r="K34" i="1" s="1"/>
  <c r="L34" i="1" s="1"/>
  <c r="I34" i="1"/>
  <c r="H34" i="1"/>
  <c r="G34" i="1"/>
  <c r="F34" i="1"/>
  <c r="C34" i="1"/>
  <c r="A34" i="1"/>
  <c r="I33" i="1"/>
  <c r="H33" i="1"/>
  <c r="J33" i="1" s="1"/>
  <c r="K33" i="1" s="1"/>
  <c r="L33" i="1" s="1"/>
  <c r="G33" i="1"/>
  <c r="F33" i="1"/>
  <c r="C33" i="1"/>
  <c r="A33" i="1"/>
  <c r="I32" i="1"/>
  <c r="K32" i="1" s="1"/>
  <c r="L32" i="1" s="1"/>
  <c r="H32" i="1"/>
  <c r="J32" i="1" s="1"/>
  <c r="G32" i="1"/>
  <c r="F32" i="1"/>
  <c r="C32" i="1"/>
  <c r="A32" i="1"/>
  <c r="I31" i="1"/>
  <c r="K31" i="1" s="1"/>
  <c r="L31" i="1" s="1"/>
  <c r="H31" i="1"/>
  <c r="J31" i="1" s="1"/>
  <c r="G31" i="1"/>
  <c r="F31" i="1"/>
  <c r="C31" i="1"/>
  <c r="A31" i="1"/>
  <c r="J30" i="1"/>
  <c r="K30" i="1" s="1"/>
  <c r="L30" i="1" s="1"/>
  <c r="I30" i="1"/>
  <c r="H30" i="1"/>
  <c r="G30" i="1"/>
  <c r="F30" i="1"/>
  <c r="C30" i="1"/>
  <c r="A30" i="1"/>
  <c r="I29" i="1"/>
  <c r="H29" i="1"/>
  <c r="J29" i="1" s="1"/>
  <c r="K29" i="1" s="1"/>
  <c r="L29" i="1" s="1"/>
  <c r="G29" i="1"/>
  <c r="F29" i="1"/>
  <c r="C29" i="1"/>
  <c r="A29" i="1"/>
  <c r="I28" i="1"/>
  <c r="H28" i="1"/>
  <c r="J28" i="1" s="1"/>
  <c r="G28" i="1"/>
  <c r="F28" i="1"/>
  <c r="C28" i="1"/>
  <c r="A28" i="1"/>
  <c r="I27" i="1"/>
  <c r="K27" i="1" s="1"/>
  <c r="L27" i="1" s="1"/>
  <c r="H27" i="1"/>
  <c r="J27" i="1" s="1"/>
  <c r="G27" i="1"/>
  <c r="F27" i="1"/>
  <c r="C27" i="1"/>
  <c r="A27" i="1"/>
  <c r="J26" i="1"/>
  <c r="K26" i="1" s="1"/>
  <c r="L26" i="1" s="1"/>
  <c r="I26" i="1"/>
  <c r="H26" i="1"/>
  <c r="G26" i="1"/>
  <c r="F26" i="1"/>
  <c r="C26" i="1"/>
  <c r="A26" i="1"/>
  <c r="I25" i="1"/>
  <c r="H25" i="1"/>
  <c r="J25" i="1" s="1"/>
  <c r="K25" i="1" s="1"/>
  <c r="L25" i="1" s="1"/>
  <c r="G25" i="1"/>
  <c r="F25" i="1"/>
  <c r="C25" i="1"/>
  <c r="A25" i="1"/>
  <c r="I24" i="1"/>
  <c r="K24" i="1" s="1"/>
  <c r="L24" i="1" s="1"/>
  <c r="H24" i="1"/>
  <c r="J24" i="1" s="1"/>
  <c r="G24" i="1"/>
  <c r="F24" i="1"/>
  <c r="C24" i="1"/>
  <c r="A24" i="1"/>
  <c r="I23" i="1"/>
  <c r="H23" i="1"/>
  <c r="J23" i="1" s="1"/>
  <c r="G23" i="1"/>
  <c r="F23" i="1"/>
  <c r="C23" i="1"/>
  <c r="A23" i="1"/>
  <c r="J22" i="1"/>
  <c r="K22" i="1" s="1"/>
  <c r="L22" i="1" s="1"/>
  <c r="I22" i="1"/>
  <c r="H22" i="1"/>
  <c r="G22" i="1"/>
  <c r="F22" i="1"/>
  <c r="C22" i="1"/>
  <c r="A22" i="1"/>
  <c r="I21" i="1"/>
  <c r="H21" i="1"/>
  <c r="J21" i="1" s="1"/>
  <c r="K21" i="1" s="1"/>
  <c r="L21" i="1" s="1"/>
  <c r="G21" i="1"/>
  <c r="F21" i="1"/>
  <c r="C21" i="1"/>
  <c r="A21" i="1"/>
  <c r="J20" i="1"/>
  <c r="I20" i="1"/>
  <c r="K20" i="1" s="1"/>
  <c r="L20" i="1" s="1"/>
  <c r="H20" i="1"/>
  <c r="G20" i="1"/>
  <c r="F20" i="1"/>
  <c r="C20" i="1"/>
  <c r="A20" i="1"/>
  <c r="J19" i="1"/>
  <c r="I19" i="1"/>
  <c r="K19" i="1" s="1"/>
  <c r="L19" i="1" s="1"/>
  <c r="H19" i="1"/>
  <c r="G19" i="1"/>
  <c r="F19" i="1"/>
  <c r="C19" i="1"/>
  <c r="A19" i="1"/>
  <c r="J18" i="1"/>
  <c r="K18" i="1" s="1"/>
  <c r="L18" i="1" s="1"/>
  <c r="I18" i="1"/>
  <c r="H18" i="1"/>
  <c r="G18" i="1"/>
  <c r="F18" i="1"/>
  <c r="C18" i="1"/>
  <c r="A18" i="1"/>
  <c r="I17" i="1"/>
  <c r="H17" i="1"/>
  <c r="J17" i="1" s="1"/>
  <c r="K17" i="1" s="1"/>
  <c r="L17" i="1" s="1"/>
  <c r="G17" i="1"/>
  <c r="F17" i="1"/>
  <c r="C17" i="1"/>
  <c r="A17" i="1"/>
  <c r="I16" i="1"/>
  <c r="K16" i="1" s="1"/>
  <c r="L16" i="1" s="1"/>
  <c r="H16" i="1"/>
  <c r="J16" i="1" s="1"/>
  <c r="G16" i="1"/>
  <c r="F16" i="1"/>
  <c r="C16" i="1"/>
  <c r="A16" i="1"/>
  <c r="I15" i="1"/>
  <c r="K15" i="1" s="1"/>
  <c r="L15" i="1" s="1"/>
  <c r="H15" i="1"/>
  <c r="J15" i="1" s="1"/>
  <c r="G15" i="1"/>
  <c r="F15" i="1"/>
  <c r="C15" i="1"/>
  <c r="A15" i="1"/>
  <c r="J14" i="1"/>
  <c r="K14" i="1" s="1"/>
  <c r="L14" i="1" s="1"/>
  <c r="I14" i="1"/>
  <c r="H14" i="1"/>
  <c r="G14" i="1"/>
  <c r="F14" i="1"/>
  <c r="C14" i="1"/>
  <c r="A14" i="1"/>
  <c r="K13" i="1"/>
  <c r="L13" i="1" s="1"/>
  <c r="J13" i="1"/>
  <c r="I13" i="1"/>
  <c r="H13" i="1"/>
  <c r="G13" i="1"/>
  <c r="F13" i="1"/>
  <c r="C13" i="1"/>
  <c r="A13" i="1"/>
  <c r="I12" i="1"/>
  <c r="H12" i="1"/>
  <c r="J12" i="1" s="1"/>
  <c r="G12" i="1"/>
  <c r="F12" i="1"/>
  <c r="C12" i="1"/>
  <c r="A12" i="1"/>
  <c r="J11" i="1"/>
  <c r="I11" i="1"/>
  <c r="K11" i="1" s="1"/>
  <c r="L11" i="1" s="1"/>
  <c r="H11" i="1"/>
  <c r="G11" i="1"/>
  <c r="F11" i="1"/>
  <c r="C11" i="1"/>
  <c r="A11" i="1"/>
  <c r="J10" i="1"/>
  <c r="K10" i="1" s="1"/>
  <c r="L10" i="1" s="1"/>
  <c r="I10" i="1"/>
  <c r="H10" i="1"/>
  <c r="G10" i="1"/>
  <c r="F10" i="1"/>
  <c r="C10" i="1"/>
  <c r="A10" i="1"/>
  <c r="K9" i="1"/>
  <c r="L9" i="1" s="1"/>
  <c r="J9" i="1"/>
  <c r="I9" i="1"/>
  <c r="H9" i="1"/>
  <c r="G9" i="1"/>
  <c r="F9" i="1"/>
  <c r="C9" i="1"/>
  <c r="A9" i="1"/>
  <c r="I8" i="1"/>
  <c r="H8" i="1"/>
  <c r="J8" i="1" s="1"/>
  <c r="G8" i="1"/>
  <c r="F8" i="1"/>
  <c r="C8" i="1"/>
  <c r="A8" i="1"/>
  <c r="J7" i="1"/>
  <c r="I7" i="1"/>
  <c r="K7" i="1" s="1"/>
  <c r="L7" i="1" s="1"/>
  <c r="H7" i="1"/>
  <c r="G7" i="1"/>
  <c r="F7" i="1"/>
  <c r="C7" i="1"/>
  <c r="A7" i="1"/>
  <c r="J6" i="1"/>
  <c r="K6" i="1" s="1"/>
  <c r="L6" i="1" s="1"/>
  <c r="I6" i="1"/>
  <c r="H6" i="1"/>
  <c r="G6" i="1"/>
  <c r="F6" i="1"/>
  <c r="C6" i="1"/>
  <c r="A6" i="1"/>
  <c r="K5" i="1"/>
  <c r="L5" i="1" s="1"/>
  <c r="J5" i="1"/>
  <c r="I5" i="1"/>
  <c r="H5" i="1"/>
  <c r="G5" i="1"/>
  <c r="F5" i="1"/>
  <c r="C5" i="1"/>
  <c r="A5" i="1"/>
  <c r="I4" i="1"/>
  <c r="H4" i="1"/>
  <c r="J4" i="1" s="1"/>
  <c r="G4" i="1"/>
  <c r="F4" i="1"/>
  <c r="C4" i="1"/>
  <c r="A4" i="1"/>
  <c r="J3" i="1"/>
  <c r="I3" i="1"/>
  <c r="K3" i="1" s="1"/>
  <c r="L3" i="1" s="1"/>
  <c r="H3" i="1"/>
  <c r="G3" i="1"/>
  <c r="F3" i="1"/>
  <c r="C3" i="1"/>
  <c r="A3" i="1"/>
  <c r="J2" i="1"/>
  <c r="K2" i="1" s="1"/>
  <c r="L2" i="1" s="1"/>
  <c r="I2" i="1"/>
  <c r="H2" i="1"/>
  <c r="G2" i="1"/>
  <c r="F2" i="1"/>
  <c r="C2" i="1"/>
  <c r="A2" i="1"/>
  <c r="K35" i="1" l="1"/>
  <c r="L35" i="1" s="1"/>
  <c r="K43" i="1"/>
  <c r="L43" i="1" s="1"/>
  <c r="K39" i="1"/>
  <c r="L39" i="1" s="1"/>
  <c r="K4" i="1"/>
  <c r="L4" i="1" s="1"/>
  <c r="K8" i="1"/>
  <c r="L8" i="1" s="1"/>
  <c r="K28" i="1"/>
  <c r="L28" i="1" s="1"/>
  <c r="K51" i="1"/>
  <c r="L51" i="1" s="1"/>
  <c r="K110" i="1"/>
  <c r="L110" i="1" s="1"/>
  <c r="K36" i="1"/>
  <c r="L36" i="1" s="1"/>
  <c r="K40" i="1"/>
  <c r="L40" i="1" s="1"/>
  <c r="K12" i="1"/>
  <c r="L12" i="1" s="1"/>
  <c r="K44" i="1"/>
  <c r="L44" i="1" s="1"/>
  <c r="K103" i="1"/>
  <c r="L103" i="1" s="1"/>
  <c r="K23" i="1"/>
  <c r="L23" i="1" s="1"/>
  <c r="K48" i="1"/>
  <c r="L48" i="1" s="1"/>
</calcChain>
</file>

<file path=xl/sharedStrings.xml><?xml version="1.0" encoding="utf-8"?>
<sst xmlns="http://schemas.openxmlformats.org/spreadsheetml/2006/main" count="252" uniqueCount="17">
  <si>
    <t>Precio de contado</t>
  </si>
  <si>
    <t>Banco</t>
  </si>
  <si>
    <t>Forma de financiación</t>
  </si>
  <si>
    <t>Convenio Tasa 0% / Financia banco</t>
  </si>
  <si>
    <t>Plazo</t>
  </si>
  <si>
    <t>Moneda</t>
  </si>
  <si>
    <t>TNA BANCARIA</t>
  </si>
  <si>
    <t>Tasa a recuperar / Costo de Procesamiento</t>
  </si>
  <si>
    <t>Interes del Banco por el plazo elegido</t>
  </si>
  <si>
    <t>Precio final financiado</t>
  </si>
  <si>
    <t>TNA con todos los gastos incluidos</t>
  </si>
  <si>
    <t>Préstamo</t>
  </si>
  <si>
    <t>Mixto</t>
  </si>
  <si>
    <t>Tasa 0%</t>
  </si>
  <si>
    <t>Tarjeta</t>
  </si>
  <si>
    <t>Financia Banco</t>
  </si>
  <si>
    <t>Tipo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</si>
</sst>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9" fontId="0" fillId="0" borderId="0" xfId="0" applyNumberFormat="1"/>
    <xf numFmtId="43" fontId="0" fillId="0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inanciera\Gestion%20Financiera\Condiciones%20Comerciales%20-%20Convenios%20Tarjetas\Condiciones%20Financieras%20NUEVO.xlsx" TargetMode="External"/><Relationship Id="rId1" Type="http://schemas.openxmlformats.org/officeDocument/2006/relationships/externalLinkPath" Target="/Financiera/Gestion%20Financiera/Condiciones%20Comerciales%20-%20Convenios%20Tarjetas/Condiciones%20Financieras%20NUE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diciones"/>
      <sheetName val="Simulador"/>
      <sheetName val="Hoja2"/>
    </sheetNames>
    <sheetDataSet>
      <sheetData sheetId="0">
        <row r="8">
          <cell r="A8" t="str">
            <v>USD</v>
          </cell>
          <cell r="B8" t="str">
            <v>MiPyme</v>
          </cell>
          <cell r="C8" t="str">
            <v>GALICIA</v>
          </cell>
          <cell r="Q8">
            <v>180</v>
          </cell>
          <cell r="S8">
            <v>270</v>
          </cell>
          <cell r="U8">
            <v>360</v>
          </cell>
        </row>
        <row r="10">
          <cell r="Z10">
            <v>0.06</v>
          </cell>
          <cell r="AA10">
            <v>0</v>
          </cell>
          <cell r="AB10">
            <v>7.0000000000000007E-2</v>
          </cell>
          <cell r="AC10">
            <v>0</v>
          </cell>
          <cell r="AD10">
            <v>0.08</v>
          </cell>
          <cell r="AE10">
            <v>0</v>
          </cell>
        </row>
        <row r="11">
          <cell r="A11" t="str">
            <v>USD</v>
          </cell>
          <cell r="B11" t="str">
            <v>No MiPyme</v>
          </cell>
          <cell r="C11" t="str">
            <v>GALICIA</v>
          </cell>
          <cell r="Q11">
            <v>180</v>
          </cell>
          <cell r="S11">
            <v>270</v>
          </cell>
          <cell r="U11">
            <v>360</v>
          </cell>
        </row>
        <row r="13">
          <cell r="Z13">
            <v>0.06</v>
          </cell>
          <cell r="AA13">
            <v>0</v>
          </cell>
          <cell r="AB13">
            <v>7.0000000000000007E-2</v>
          </cell>
          <cell r="AC13">
            <v>0</v>
          </cell>
          <cell r="AD13">
            <v>0.08</v>
          </cell>
          <cell r="AE13">
            <v>0</v>
          </cell>
        </row>
        <row r="14">
          <cell r="A14" t="str">
            <v>USD</v>
          </cell>
          <cell r="B14" t="str">
            <v>No Distingue</v>
          </cell>
          <cell r="C14" t="str">
            <v>SANTANDER</v>
          </cell>
          <cell r="S14">
            <v>90</v>
          </cell>
          <cell r="T14">
            <v>180</v>
          </cell>
          <cell r="U14">
            <v>270</v>
          </cell>
          <cell r="V14">
            <v>360</v>
          </cell>
        </row>
        <row r="16">
          <cell r="Z16">
            <v>6.5000000000000002E-2</v>
          </cell>
          <cell r="AA16">
            <v>7.0000000000000007E-2</v>
          </cell>
          <cell r="AB16">
            <v>7.4999999999999997E-2</v>
          </cell>
          <cell r="AC16">
            <v>0.09</v>
          </cell>
        </row>
        <row r="17">
          <cell r="A17" t="str">
            <v>USD</v>
          </cell>
          <cell r="B17" t="str">
            <v>No Distingue</v>
          </cell>
          <cell r="C17" t="str">
            <v>MACRO</v>
          </cell>
          <cell r="T17">
            <v>180</v>
          </cell>
          <cell r="U17">
            <v>270</v>
          </cell>
          <cell r="V17">
            <v>360</v>
          </cell>
          <cell r="W17">
            <v>360</v>
          </cell>
        </row>
        <row r="19">
          <cell r="Z19">
            <v>0</v>
          </cell>
          <cell r="AA19">
            <v>0</v>
          </cell>
          <cell r="AB19">
            <v>0</v>
          </cell>
          <cell r="AC19">
            <v>0.115</v>
          </cell>
        </row>
        <row r="20">
          <cell r="T20">
            <v>180</v>
          </cell>
          <cell r="U20">
            <v>210</v>
          </cell>
          <cell r="V20">
            <v>270</v>
          </cell>
        </row>
        <row r="21">
          <cell r="A21" t="str">
            <v>USD</v>
          </cell>
          <cell r="B21" t="str">
            <v>No Distingue</v>
          </cell>
          <cell r="C21" t="str">
            <v>PATAGONIA</v>
          </cell>
        </row>
        <row r="22">
          <cell r="Z22">
            <v>1.4999999999999999E-2</v>
          </cell>
          <cell r="AA22">
            <v>0.04</v>
          </cell>
          <cell r="AB22">
            <v>7.0000000000000007E-2</v>
          </cell>
        </row>
        <row r="26">
          <cell r="T26">
            <v>180</v>
          </cell>
          <cell r="U26">
            <v>270</v>
          </cell>
          <cell r="V26">
            <v>360</v>
          </cell>
        </row>
        <row r="28">
          <cell r="A28" t="str">
            <v>$</v>
          </cell>
          <cell r="B28" t="str">
            <v>MiPyme</v>
          </cell>
          <cell r="C28" t="str">
            <v>BANCOR</v>
          </cell>
          <cell r="Z28">
            <v>0.35</v>
          </cell>
          <cell r="AA28">
            <v>0.38</v>
          </cell>
          <cell r="AB28">
            <v>0.38</v>
          </cell>
        </row>
        <row r="29">
          <cell r="A29" t="str">
            <v>$</v>
          </cell>
          <cell r="B29" t="str">
            <v>No MiPyme</v>
          </cell>
          <cell r="C29" t="str">
            <v>BANCOR</v>
          </cell>
        </row>
        <row r="30">
          <cell r="Z30">
            <v>0.36</v>
          </cell>
          <cell r="AA30">
            <v>0.39</v>
          </cell>
          <cell r="AB30">
            <v>0.39</v>
          </cell>
        </row>
        <row r="37">
          <cell r="S37">
            <v>180</v>
          </cell>
          <cell r="T37">
            <v>270</v>
          </cell>
          <cell r="U37">
            <v>360</v>
          </cell>
          <cell r="V37">
            <v>180</v>
          </cell>
          <cell r="W37">
            <v>270</v>
          </cell>
          <cell r="X37">
            <v>360</v>
          </cell>
        </row>
        <row r="38">
          <cell r="A38" t="str">
            <v>$</v>
          </cell>
          <cell r="B38" t="str">
            <v>MiPyme</v>
          </cell>
          <cell r="C38" t="str">
            <v>SANTANDER</v>
          </cell>
        </row>
        <row r="39">
          <cell r="A39" t="str">
            <v>$</v>
          </cell>
          <cell r="B39" t="str">
            <v>No MiPyme</v>
          </cell>
          <cell r="C39" t="str">
            <v>SANTANDER</v>
          </cell>
          <cell r="Z39">
            <v>0.36</v>
          </cell>
          <cell r="AA39">
            <v>0.39</v>
          </cell>
          <cell r="AB39">
            <v>0.42</v>
          </cell>
          <cell r="AC39">
            <v>0.38</v>
          </cell>
          <cell r="AD39">
            <v>0.41</v>
          </cell>
          <cell r="AE39">
            <v>0.45</v>
          </cell>
        </row>
        <row r="41">
          <cell r="A41" t="str">
            <v>$</v>
          </cell>
          <cell r="B41" t="str">
            <v>MiPyme</v>
          </cell>
          <cell r="C41" t="str">
            <v>BERSA</v>
          </cell>
          <cell r="S41">
            <v>180</v>
          </cell>
          <cell r="T41">
            <v>240</v>
          </cell>
          <cell r="V41">
            <v>180</v>
          </cell>
          <cell r="W41">
            <v>240</v>
          </cell>
        </row>
        <row r="42">
          <cell r="A42" t="str">
            <v>$</v>
          </cell>
          <cell r="B42" t="str">
            <v>No MiPyme</v>
          </cell>
          <cell r="C42" t="str">
            <v>BERSA</v>
          </cell>
        </row>
        <row r="43">
          <cell r="Z43">
            <v>0.68</v>
          </cell>
          <cell r="AA43">
            <v>0.76319999999999999</v>
          </cell>
          <cell r="AC43">
            <v>0.77429999999999999</v>
          </cell>
          <cell r="AD43">
            <v>0.8075</v>
          </cell>
        </row>
        <row r="44">
          <cell r="T44">
            <v>180</v>
          </cell>
          <cell r="U44">
            <v>210</v>
          </cell>
          <cell r="V44">
            <v>270</v>
          </cell>
        </row>
        <row r="45">
          <cell r="A45" t="str">
            <v>$</v>
          </cell>
          <cell r="B45" t="str">
            <v>No Distingue</v>
          </cell>
          <cell r="C45" t="str">
            <v>PATAGONIA</v>
          </cell>
        </row>
        <row r="46">
          <cell r="Z46">
            <v>0.35</v>
          </cell>
          <cell r="AA46">
            <v>0.35499999999999998</v>
          </cell>
          <cell r="AB46">
            <v>0.36</v>
          </cell>
        </row>
        <row r="48">
          <cell r="P48">
            <v>180</v>
          </cell>
          <cell r="S48">
            <v>270</v>
          </cell>
          <cell r="V48">
            <v>360</v>
          </cell>
        </row>
        <row r="49">
          <cell r="A49" t="str">
            <v>$</v>
          </cell>
          <cell r="B49" t="str">
            <v>Pyme</v>
          </cell>
          <cell r="C49" t="str">
            <v>PROCAMPO DIGITAL</v>
          </cell>
          <cell r="Z49">
            <v>0.37</v>
          </cell>
          <cell r="AA49">
            <v>0.27</v>
          </cell>
          <cell r="AB49">
            <v>0.15</v>
          </cell>
          <cell r="AC49">
            <v>0.37</v>
          </cell>
          <cell r="AD49">
            <v>0.3</v>
          </cell>
          <cell r="AE49">
            <v>0.21</v>
          </cell>
          <cell r="AF49">
            <v>0.37</v>
          </cell>
          <cell r="AG49">
            <v>0.31</v>
          </cell>
          <cell r="AH49">
            <v>0.24</v>
          </cell>
        </row>
        <row r="50">
          <cell r="A50" t="str">
            <v>$</v>
          </cell>
          <cell r="B50" t="str">
            <v>Pyme</v>
          </cell>
          <cell r="C50" t="str">
            <v>PROCAMPO DIGITAL - Promo 1</v>
          </cell>
        </row>
        <row r="51">
          <cell r="A51" t="str">
            <v>$</v>
          </cell>
          <cell r="B51" t="str">
            <v>Pyme</v>
          </cell>
          <cell r="C51" t="str">
            <v>PROCAMPO DIGITAL - Promo 2</v>
          </cell>
        </row>
        <row r="52">
          <cell r="A52" t="str">
            <v>$</v>
          </cell>
          <cell r="B52" t="str">
            <v>MiPyme</v>
          </cell>
          <cell r="C52" t="str">
            <v>MACRO</v>
          </cell>
        </row>
        <row r="53">
          <cell r="A53" t="str">
            <v>$</v>
          </cell>
          <cell r="B53" t="str">
            <v>No MiPyme</v>
          </cell>
          <cell r="C53" t="str">
            <v>MACRO</v>
          </cell>
          <cell r="S53">
            <v>180</v>
          </cell>
          <cell r="T53">
            <v>270</v>
          </cell>
          <cell r="U53">
            <v>360</v>
          </cell>
          <cell r="V53">
            <v>180</v>
          </cell>
          <cell r="W53">
            <v>270</v>
          </cell>
          <cell r="X53">
            <v>360</v>
          </cell>
        </row>
        <row r="55">
          <cell r="Z55">
            <v>0.20499999999999999</v>
          </cell>
          <cell r="AA55">
            <v>0.28999999999999998</v>
          </cell>
          <cell r="AB55">
            <v>0.34250000000000003</v>
          </cell>
          <cell r="AC55">
            <v>0.20499999999999999</v>
          </cell>
          <cell r="AD55">
            <v>0.28999999999999998</v>
          </cell>
          <cell r="AE55">
            <v>0.34250000000000003</v>
          </cell>
        </row>
        <row r="65">
          <cell r="M65">
            <v>60</v>
          </cell>
          <cell r="N65">
            <v>90</v>
          </cell>
          <cell r="O65">
            <v>120</v>
          </cell>
          <cell r="P65">
            <v>150</v>
          </cell>
          <cell r="Q65">
            <v>180</v>
          </cell>
          <cell r="T65">
            <v>60</v>
          </cell>
          <cell r="U65">
            <v>90</v>
          </cell>
          <cell r="V65">
            <v>180</v>
          </cell>
          <cell r="W65">
            <v>270</v>
          </cell>
          <cell r="X65">
            <v>360</v>
          </cell>
        </row>
        <row r="66">
          <cell r="A66" t="str">
            <v>$</v>
          </cell>
          <cell r="B66" t="str">
            <v>No Distingue</v>
          </cell>
          <cell r="C66" t="str">
            <v>BERSA</v>
          </cell>
        </row>
        <row r="67">
          <cell r="AB67">
            <v>0.37047499999999972</v>
          </cell>
          <cell r="AC67">
            <v>0.37605950000000005</v>
          </cell>
          <cell r="AD67">
            <v>0.3934949346282498</v>
          </cell>
          <cell r="AE67">
            <v>0.47727539616300035</v>
          </cell>
          <cell r="AF67">
            <v>0.50342973718368167</v>
          </cell>
        </row>
        <row r="68">
          <cell r="A68" t="str">
            <v>$</v>
          </cell>
          <cell r="B68" t="str">
            <v>No Distingue</v>
          </cell>
          <cell r="C68" t="str">
            <v>BANCOR</v>
          </cell>
          <cell r="Y68">
            <v>0.38</v>
          </cell>
        </row>
        <row r="69">
          <cell r="A69" t="str">
            <v>$</v>
          </cell>
          <cell r="B69" t="str">
            <v>No Distingue</v>
          </cell>
          <cell r="C69" t="str">
            <v>CALDÉN</v>
          </cell>
          <cell r="Y69">
            <v>0.3</v>
          </cell>
        </row>
        <row r="70">
          <cell r="A70" t="str">
            <v>$</v>
          </cell>
          <cell r="B70" t="str">
            <v>No Distingue</v>
          </cell>
          <cell r="C70" t="str">
            <v>ICBC</v>
          </cell>
          <cell r="Y70">
            <v>0.49</v>
          </cell>
        </row>
        <row r="71">
          <cell r="A71" t="str">
            <v>$</v>
          </cell>
          <cell r="B71" t="str">
            <v>No Distingue</v>
          </cell>
          <cell r="C71" t="str">
            <v>PATAGONIA</v>
          </cell>
        </row>
        <row r="72">
          <cell r="A72" t="str">
            <v>$</v>
          </cell>
          <cell r="B72" t="str">
            <v>No Distingue</v>
          </cell>
          <cell r="C72" t="str">
            <v>PROCAMPO</v>
          </cell>
        </row>
        <row r="77">
          <cell r="A77" t="str">
            <v>$</v>
          </cell>
          <cell r="B77" t="str">
            <v>No Distingue</v>
          </cell>
          <cell r="C77" t="str">
            <v>BBVA</v>
          </cell>
        </row>
        <row r="78">
          <cell r="A78" t="str">
            <v>$</v>
          </cell>
          <cell r="B78" t="str">
            <v>No Distingue</v>
          </cell>
          <cell r="C78" t="str">
            <v>GALICIA</v>
          </cell>
        </row>
        <row r="79">
          <cell r="A79" t="str">
            <v>$</v>
          </cell>
          <cell r="B79" t="str">
            <v>No Distingue</v>
          </cell>
          <cell r="C79" t="str">
            <v>HSBC</v>
          </cell>
        </row>
        <row r="80">
          <cell r="A80" t="str">
            <v>$</v>
          </cell>
          <cell r="B80" t="str">
            <v>No Distingue</v>
          </cell>
          <cell r="C80" t="str">
            <v>AGROCABAL</v>
          </cell>
        </row>
        <row r="81">
          <cell r="A81" t="str">
            <v>$</v>
          </cell>
          <cell r="B81" t="str">
            <v>No Distingue</v>
          </cell>
          <cell r="C81" t="str">
            <v>AGRONACIÓN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8534-621C-456A-88D0-E73BF73C904A}">
  <dimension ref="A1:L121"/>
  <sheetViews>
    <sheetView tabSelected="1" workbookViewId="0">
      <selection activeCell="A2" sqref="A2:L121"/>
    </sheetView>
  </sheetViews>
  <sheetFormatPr baseColWidth="10" defaultRowHeight="15" x14ac:dyDescent="0.25"/>
  <cols>
    <col min="1" max="1" width="19.42578125" bestFit="1" customWidth="1"/>
    <col min="3" max="3" width="27.5703125" bestFit="1" customWidth="1"/>
  </cols>
  <sheetData>
    <row r="1" spans="1:12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tr">
        <f>+[1]Condiciones!$B$8</f>
        <v>MiPyme</v>
      </c>
      <c r="B2" s="1">
        <v>100</v>
      </c>
      <c r="C2" t="str">
        <f>+[1]Condiciones!$C$8</f>
        <v>GALICIA</v>
      </c>
      <c r="D2" t="s">
        <v>11</v>
      </c>
      <c r="E2" s="1" t="s">
        <v>12</v>
      </c>
      <c r="F2">
        <f>+[1]Condiciones!Q8</f>
        <v>180</v>
      </c>
      <c r="G2" t="str">
        <f>+[1]Condiciones!$A$8</f>
        <v>USD</v>
      </c>
      <c r="H2">
        <f>[1]Condiciones!Z10</f>
        <v>0.06</v>
      </c>
      <c r="I2">
        <f>+N2*100</f>
        <v>0</v>
      </c>
      <c r="J2">
        <f t="shared" ref="J2:J65" si="0">+IF(E2="Tasa 0%",0,H2/365*F2)*100</f>
        <v>2.9589041095890409</v>
      </c>
      <c r="K2" s="2">
        <f>+$B2*(1+I2/100)*(1+J2/100)</f>
        <v>102.95890410958903</v>
      </c>
      <c r="L2" s="2">
        <f t="shared" ref="L2:L65" si="1">+(K2/$B$2-1)/F2*365</f>
        <v>5.9999999999999845E-2</v>
      </c>
    </row>
    <row r="3" spans="1:12" x14ac:dyDescent="0.25">
      <c r="A3" t="str">
        <f>+[1]Condiciones!$B$8</f>
        <v>MiPyme</v>
      </c>
      <c r="B3" s="1">
        <v>100</v>
      </c>
      <c r="C3" t="str">
        <f>+[1]Condiciones!$C$8</f>
        <v>GALICIA</v>
      </c>
      <c r="D3" t="s">
        <v>11</v>
      </c>
      <c r="E3" s="1" t="s">
        <v>13</v>
      </c>
      <c r="F3">
        <f>+F2</f>
        <v>180</v>
      </c>
      <c r="G3" t="str">
        <f>+[1]Condiciones!$A$8</f>
        <v>USD</v>
      </c>
      <c r="H3">
        <f>+[1]Condiciones!AA10</f>
        <v>0</v>
      </c>
      <c r="I3">
        <f t="shared" ref="I3:I66" si="2">+N3*100</f>
        <v>0</v>
      </c>
      <c r="J3">
        <f t="shared" si="0"/>
        <v>0</v>
      </c>
      <c r="K3" s="2">
        <f t="shared" ref="K3:K66" si="3">+$B3*(1+I3/100)*(1+J3/100)</f>
        <v>100</v>
      </c>
      <c r="L3" s="2">
        <f t="shared" si="1"/>
        <v>0</v>
      </c>
    </row>
    <row r="4" spans="1:12" x14ac:dyDescent="0.25">
      <c r="A4" t="str">
        <f>+[1]Condiciones!$B$8</f>
        <v>MiPyme</v>
      </c>
      <c r="B4" s="1">
        <v>100</v>
      </c>
      <c r="C4" t="str">
        <f>+[1]Condiciones!$C$8</f>
        <v>GALICIA</v>
      </c>
      <c r="D4" t="s">
        <v>11</v>
      </c>
      <c r="E4" s="1" t="s">
        <v>12</v>
      </c>
      <c r="F4">
        <f>+[1]Condiciones!S8</f>
        <v>270</v>
      </c>
      <c r="G4" t="str">
        <f>+[1]Condiciones!$A$8</f>
        <v>USD</v>
      </c>
      <c r="H4">
        <f>+[1]Condiciones!AB10</f>
        <v>7.0000000000000007E-2</v>
      </c>
      <c r="I4">
        <f t="shared" si="2"/>
        <v>0</v>
      </c>
      <c r="J4">
        <f t="shared" si="0"/>
        <v>5.1780821917808222</v>
      </c>
      <c r="K4" s="2">
        <f t="shared" si="3"/>
        <v>105.17808219178082</v>
      </c>
      <c r="L4" s="2">
        <f t="shared" si="1"/>
        <v>6.9999999999999965E-2</v>
      </c>
    </row>
    <row r="5" spans="1:12" x14ac:dyDescent="0.25">
      <c r="A5" t="str">
        <f>+[1]Condiciones!$B$8</f>
        <v>MiPyme</v>
      </c>
      <c r="B5" s="1">
        <v>100</v>
      </c>
      <c r="C5" t="str">
        <f>+[1]Condiciones!$C$8</f>
        <v>GALICIA</v>
      </c>
      <c r="D5" t="s">
        <v>11</v>
      </c>
      <c r="E5" s="1" t="s">
        <v>13</v>
      </c>
      <c r="F5">
        <f>+F4</f>
        <v>270</v>
      </c>
      <c r="G5" t="str">
        <f>+[1]Condiciones!$A$8</f>
        <v>USD</v>
      </c>
      <c r="H5">
        <f>+[1]Condiciones!AC10</f>
        <v>0</v>
      </c>
      <c r="I5">
        <f t="shared" si="2"/>
        <v>0</v>
      </c>
      <c r="J5">
        <f t="shared" si="0"/>
        <v>0</v>
      </c>
      <c r="K5" s="2">
        <f t="shared" si="3"/>
        <v>100</v>
      </c>
      <c r="L5" s="2">
        <f t="shared" si="1"/>
        <v>0</v>
      </c>
    </row>
    <row r="6" spans="1:12" x14ac:dyDescent="0.25">
      <c r="A6" t="str">
        <f>+[1]Condiciones!$B$8</f>
        <v>MiPyme</v>
      </c>
      <c r="B6" s="1">
        <v>100</v>
      </c>
      <c r="C6" t="str">
        <f>+[1]Condiciones!$C$8</f>
        <v>GALICIA</v>
      </c>
      <c r="D6" t="s">
        <v>11</v>
      </c>
      <c r="E6" s="1" t="s">
        <v>12</v>
      </c>
      <c r="F6">
        <f>+[1]Condiciones!U8</f>
        <v>360</v>
      </c>
      <c r="G6" t="str">
        <f>+[1]Condiciones!$A$8</f>
        <v>USD</v>
      </c>
      <c r="H6">
        <f>+[1]Condiciones!AD10</f>
        <v>0.08</v>
      </c>
      <c r="I6">
        <f t="shared" si="2"/>
        <v>0</v>
      </c>
      <c r="J6">
        <f t="shared" si="0"/>
        <v>7.8904109589041092</v>
      </c>
      <c r="K6" s="2">
        <f t="shared" si="3"/>
        <v>107.8904109589041</v>
      </c>
      <c r="L6" s="2">
        <f t="shared" si="1"/>
        <v>7.9999999999999946E-2</v>
      </c>
    </row>
    <row r="7" spans="1:12" x14ac:dyDescent="0.25">
      <c r="A7" t="str">
        <f>+[1]Condiciones!$B$8</f>
        <v>MiPyme</v>
      </c>
      <c r="B7" s="1">
        <v>100</v>
      </c>
      <c r="C7" t="str">
        <f>+[1]Condiciones!$C$8</f>
        <v>GALICIA</v>
      </c>
      <c r="D7" t="s">
        <v>11</v>
      </c>
      <c r="E7" s="1" t="s">
        <v>13</v>
      </c>
      <c r="F7">
        <f>+F6</f>
        <v>360</v>
      </c>
      <c r="G7" t="str">
        <f>+[1]Condiciones!$A$8</f>
        <v>USD</v>
      </c>
      <c r="H7">
        <f>+[1]Condiciones!AE10</f>
        <v>0</v>
      </c>
      <c r="I7">
        <f t="shared" si="2"/>
        <v>0</v>
      </c>
      <c r="J7">
        <f t="shared" si="0"/>
        <v>0</v>
      </c>
      <c r="K7" s="2">
        <f t="shared" si="3"/>
        <v>100</v>
      </c>
      <c r="L7" s="2">
        <f t="shared" si="1"/>
        <v>0</v>
      </c>
    </row>
    <row r="8" spans="1:12" x14ac:dyDescent="0.25">
      <c r="A8" t="str">
        <f>+[1]Condiciones!$B$11</f>
        <v>No MiPyme</v>
      </c>
      <c r="B8" s="1">
        <v>100</v>
      </c>
      <c r="C8" t="str">
        <f>+[1]Condiciones!$C$11</f>
        <v>GALICIA</v>
      </c>
      <c r="D8" t="s">
        <v>11</v>
      </c>
      <c r="E8" s="1" t="s">
        <v>12</v>
      </c>
      <c r="F8">
        <f>+[1]Condiciones!Q11</f>
        <v>180</v>
      </c>
      <c r="G8" t="str">
        <f>+[1]Condiciones!$A$11</f>
        <v>USD</v>
      </c>
      <c r="H8">
        <f>+[1]Condiciones!Z13</f>
        <v>0.06</v>
      </c>
      <c r="I8">
        <f t="shared" si="2"/>
        <v>0</v>
      </c>
      <c r="J8">
        <f t="shared" si="0"/>
        <v>2.9589041095890409</v>
      </c>
      <c r="K8" s="2">
        <f t="shared" si="3"/>
        <v>102.95890410958903</v>
      </c>
      <c r="L8" s="2">
        <f t="shared" si="1"/>
        <v>5.9999999999999845E-2</v>
      </c>
    </row>
    <row r="9" spans="1:12" x14ac:dyDescent="0.25">
      <c r="A9" t="str">
        <f>+[1]Condiciones!$B$11</f>
        <v>No MiPyme</v>
      </c>
      <c r="B9" s="1">
        <v>100</v>
      </c>
      <c r="C9" t="str">
        <f>+[1]Condiciones!$C$11</f>
        <v>GALICIA</v>
      </c>
      <c r="D9" t="s">
        <v>11</v>
      </c>
      <c r="E9" s="1" t="s">
        <v>13</v>
      </c>
      <c r="F9">
        <f>+[1]Condiciones!Q11</f>
        <v>180</v>
      </c>
      <c r="G9" t="str">
        <f>+[1]Condiciones!$A$11</f>
        <v>USD</v>
      </c>
      <c r="H9">
        <f>+[1]Condiciones!AA13</f>
        <v>0</v>
      </c>
      <c r="I9">
        <f t="shared" si="2"/>
        <v>0</v>
      </c>
      <c r="J9">
        <f t="shared" si="0"/>
        <v>0</v>
      </c>
      <c r="K9" s="2">
        <f t="shared" si="3"/>
        <v>100</v>
      </c>
      <c r="L9" s="2">
        <f t="shared" si="1"/>
        <v>0</v>
      </c>
    </row>
    <row r="10" spans="1:12" x14ac:dyDescent="0.25">
      <c r="A10" t="str">
        <f>+[1]Condiciones!$B$11</f>
        <v>No MiPyme</v>
      </c>
      <c r="B10" s="1">
        <v>100</v>
      </c>
      <c r="C10" t="str">
        <f>+[1]Condiciones!$C$11</f>
        <v>GALICIA</v>
      </c>
      <c r="D10" t="s">
        <v>11</v>
      </c>
      <c r="E10" s="1" t="s">
        <v>12</v>
      </c>
      <c r="F10">
        <f>+[1]Condiciones!S11</f>
        <v>270</v>
      </c>
      <c r="G10" t="str">
        <f>+[1]Condiciones!$A$11</f>
        <v>USD</v>
      </c>
      <c r="H10">
        <f>+[1]Condiciones!AB13</f>
        <v>7.0000000000000007E-2</v>
      </c>
      <c r="I10">
        <f t="shared" si="2"/>
        <v>0</v>
      </c>
      <c r="J10">
        <f t="shared" si="0"/>
        <v>5.1780821917808222</v>
      </c>
      <c r="K10" s="2">
        <f t="shared" si="3"/>
        <v>105.17808219178082</v>
      </c>
      <c r="L10" s="2">
        <f t="shared" si="1"/>
        <v>6.9999999999999965E-2</v>
      </c>
    </row>
    <row r="11" spans="1:12" x14ac:dyDescent="0.25">
      <c r="A11" t="str">
        <f>+[1]Condiciones!$B$11</f>
        <v>No MiPyme</v>
      </c>
      <c r="B11" s="1">
        <v>100</v>
      </c>
      <c r="C11" t="str">
        <f>+[1]Condiciones!$C$11</f>
        <v>GALICIA</v>
      </c>
      <c r="D11" t="s">
        <v>11</v>
      </c>
      <c r="E11" s="1" t="s">
        <v>13</v>
      </c>
      <c r="F11">
        <f>+[1]Condiciones!S11</f>
        <v>270</v>
      </c>
      <c r="G11" t="str">
        <f>+[1]Condiciones!$A$11</f>
        <v>USD</v>
      </c>
      <c r="H11">
        <f>+[1]Condiciones!AC13</f>
        <v>0</v>
      </c>
      <c r="I11">
        <f t="shared" si="2"/>
        <v>0</v>
      </c>
      <c r="J11">
        <f t="shared" si="0"/>
        <v>0</v>
      </c>
      <c r="K11" s="2">
        <f t="shared" si="3"/>
        <v>100</v>
      </c>
      <c r="L11" s="2">
        <f t="shared" si="1"/>
        <v>0</v>
      </c>
    </row>
    <row r="12" spans="1:12" x14ac:dyDescent="0.25">
      <c r="A12" t="str">
        <f>+[1]Condiciones!$B$11</f>
        <v>No MiPyme</v>
      </c>
      <c r="B12" s="1">
        <v>100</v>
      </c>
      <c r="C12" t="str">
        <f>+[1]Condiciones!$C$11</f>
        <v>GALICIA</v>
      </c>
      <c r="D12" t="s">
        <v>11</v>
      </c>
      <c r="E12" s="1" t="s">
        <v>12</v>
      </c>
      <c r="F12">
        <f>+[1]Condiciones!U11</f>
        <v>360</v>
      </c>
      <c r="G12" t="str">
        <f>+[1]Condiciones!$A$11</f>
        <v>USD</v>
      </c>
      <c r="H12">
        <f>+[1]Condiciones!AD13</f>
        <v>0.08</v>
      </c>
      <c r="I12">
        <f t="shared" si="2"/>
        <v>0</v>
      </c>
      <c r="J12">
        <f t="shared" si="0"/>
        <v>7.8904109589041092</v>
      </c>
      <c r="K12" s="2">
        <f t="shared" si="3"/>
        <v>107.8904109589041</v>
      </c>
      <c r="L12" s="2">
        <f t="shared" si="1"/>
        <v>7.9999999999999946E-2</v>
      </c>
    </row>
    <row r="13" spans="1:12" x14ac:dyDescent="0.25">
      <c r="A13" t="str">
        <f>+[1]Condiciones!$B$11</f>
        <v>No MiPyme</v>
      </c>
      <c r="B13" s="1">
        <v>100</v>
      </c>
      <c r="C13" t="str">
        <f>+[1]Condiciones!$C$11</f>
        <v>GALICIA</v>
      </c>
      <c r="D13" t="s">
        <v>11</v>
      </c>
      <c r="E13" s="1" t="s">
        <v>13</v>
      </c>
      <c r="F13">
        <f>+[1]Condiciones!U11</f>
        <v>360</v>
      </c>
      <c r="G13" t="str">
        <f>+[1]Condiciones!$A$11</f>
        <v>USD</v>
      </c>
      <c r="H13">
        <f>+[1]Condiciones!AE13</f>
        <v>0</v>
      </c>
      <c r="I13">
        <f t="shared" si="2"/>
        <v>0</v>
      </c>
      <c r="J13">
        <f t="shared" si="0"/>
        <v>0</v>
      </c>
      <c r="K13" s="2">
        <f t="shared" si="3"/>
        <v>100</v>
      </c>
      <c r="L13" s="2">
        <f t="shared" si="1"/>
        <v>0</v>
      </c>
    </row>
    <row r="14" spans="1:12" x14ac:dyDescent="0.25">
      <c r="A14" t="str">
        <f>+[1]Condiciones!$B$14</f>
        <v>No Distingue</v>
      </c>
      <c r="B14" s="1">
        <v>100</v>
      </c>
      <c r="C14" t="str">
        <f>+[1]Condiciones!$C$14</f>
        <v>SANTANDER</v>
      </c>
      <c r="D14" t="s">
        <v>11</v>
      </c>
      <c r="E14" s="1" t="s">
        <v>12</v>
      </c>
      <c r="F14">
        <f>+[1]Condiciones!S14</f>
        <v>90</v>
      </c>
      <c r="G14" t="str">
        <f>+[1]Condiciones!$A$14</f>
        <v>USD</v>
      </c>
      <c r="H14">
        <f>+[1]Condiciones!Z16</f>
        <v>6.5000000000000002E-2</v>
      </c>
      <c r="I14">
        <f t="shared" si="2"/>
        <v>0</v>
      </c>
      <c r="J14">
        <f t="shared" si="0"/>
        <v>1.6027397260273972</v>
      </c>
      <c r="K14" s="2">
        <f t="shared" si="3"/>
        <v>101.60273972602741</v>
      </c>
      <c r="L14" s="2">
        <f t="shared" si="1"/>
        <v>6.500000000000021E-2</v>
      </c>
    </row>
    <row r="15" spans="1:12" x14ac:dyDescent="0.25">
      <c r="A15" t="str">
        <f>+[1]Condiciones!$B$14</f>
        <v>No Distingue</v>
      </c>
      <c r="B15" s="1">
        <v>100</v>
      </c>
      <c r="C15" t="str">
        <f>+[1]Condiciones!$C$14</f>
        <v>SANTANDER</v>
      </c>
      <c r="D15" t="s">
        <v>11</v>
      </c>
      <c r="E15" s="1" t="s">
        <v>12</v>
      </c>
      <c r="F15">
        <f>+[1]Condiciones!T14</f>
        <v>180</v>
      </c>
      <c r="G15" t="str">
        <f>+[1]Condiciones!$A$14</f>
        <v>USD</v>
      </c>
      <c r="H15">
        <f>+[1]Condiciones!AA16</f>
        <v>7.0000000000000007E-2</v>
      </c>
      <c r="I15">
        <f t="shared" si="2"/>
        <v>0</v>
      </c>
      <c r="J15">
        <f t="shared" si="0"/>
        <v>3.4520547945205484</v>
      </c>
      <c r="K15" s="2">
        <f t="shared" si="3"/>
        <v>103.45205479452055</v>
      </c>
      <c r="L15" s="2">
        <f t="shared" si="1"/>
        <v>7.0000000000000118E-2</v>
      </c>
    </row>
    <row r="16" spans="1:12" x14ac:dyDescent="0.25">
      <c r="A16" t="str">
        <f>+[1]Condiciones!$B$14</f>
        <v>No Distingue</v>
      </c>
      <c r="B16" s="1">
        <v>100</v>
      </c>
      <c r="C16" t="str">
        <f>+[1]Condiciones!$C$14</f>
        <v>SANTANDER</v>
      </c>
      <c r="D16" t="s">
        <v>11</v>
      </c>
      <c r="E16" s="1" t="s">
        <v>12</v>
      </c>
      <c r="F16">
        <f>+[1]Condiciones!U14</f>
        <v>270</v>
      </c>
      <c r="G16" t="str">
        <f>+[1]Condiciones!$A$14</f>
        <v>USD</v>
      </c>
      <c r="H16">
        <f>+[1]Condiciones!AB16</f>
        <v>7.4999999999999997E-2</v>
      </c>
      <c r="I16">
        <f t="shared" si="2"/>
        <v>0</v>
      </c>
      <c r="J16">
        <f t="shared" si="0"/>
        <v>5.5479452054794516</v>
      </c>
      <c r="K16" s="2">
        <f t="shared" si="3"/>
        <v>105.54794520547945</v>
      </c>
      <c r="L16" s="2">
        <f t="shared" si="1"/>
        <v>7.5000000000000039E-2</v>
      </c>
    </row>
    <row r="17" spans="1:12" x14ac:dyDescent="0.25">
      <c r="A17" t="str">
        <f>+[1]Condiciones!$B$14</f>
        <v>No Distingue</v>
      </c>
      <c r="B17" s="1">
        <v>100</v>
      </c>
      <c r="C17" t="str">
        <f>+[1]Condiciones!$C$14</f>
        <v>SANTANDER</v>
      </c>
      <c r="D17" t="s">
        <v>11</v>
      </c>
      <c r="E17" s="1" t="s">
        <v>12</v>
      </c>
      <c r="F17">
        <f>+[1]Condiciones!V14</f>
        <v>360</v>
      </c>
      <c r="G17" t="str">
        <f>+[1]Condiciones!$A$14</f>
        <v>USD</v>
      </c>
      <c r="H17">
        <f>+[1]Condiciones!AC16</f>
        <v>0.09</v>
      </c>
      <c r="I17">
        <f t="shared" si="2"/>
        <v>0</v>
      </c>
      <c r="J17">
        <f t="shared" si="0"/>
        <v>8.8767123287671232</v>
      </c>
      <c r="K17" s="2">
        <f t="shared" si="3"/>
        <v>108.87671232876713</v>
      </c>
      <c r="L17" s="2">
        <f t="shared" si="1"/>
        <v>0.09</v>
      </c>
    </row>
    <row r="18" spans="1:12" x14ac:dyDescent="0.25">
      <c r="A18" t="str">
        <f>+[1]Condiciones!$B$17</f>
        <v>No Distingue</v>
      </c>
      <c r="B18" s="1">
        <v>100</v>
      </c>
      <c r="C18" t="str">
        <f>+[1]Condiciones!$C$17</f>
        <v>MACRO</v>
      </c>
      <c r="D18" t="s">
        <v>11</v>
      </c>
      <c r="E18" s="1" t="s">
        <v>13</v>
      </c>
      <c r="F18">
        <f>+[1]Condiciones!T17</f>
        <v>180</v>
      </c>
      <c r="G18" t="str">
        <f>+[1]Condiciones!$A$17</f>
        <v>USD</v>
      </c>
      <c r="H18">
        <f>+[1]Condiciones!Z19</f>
        <v>0</v>
      </c>
      <c r="I18">
        <f t="shared" si="2"/>
        <v>0</v>
      </c>
      <c r="J18">
        <f t="shared" si="0"/>
        <v>0</v>
      </c>
      <c r="K18" s="2">
        <f t="shared" si="3"/>
        <v>100</v>
      </c>
      <c r="L18" s="2">
        <f t="shared" si="1"/>
        <v>0</v>
      </c>
    </row>
    <row r="19" spans="1:12" x14ac:dyDescent="0.25">
      <c r="A19" t="str">
        <f>+[1]Condiciones!$B$17</f>
        <v>No Distingue</v>
      </c>
      <c r="B19" s="1">
        <v>100</v>
      </c>
      <c r="C19" t="str">
        <f>+[1]Condiciones!$C$17</f>
        <v>MACRO</v>
      </c>
      <c r="D19" t="s">
        <v>11</v>
      </c>
      <c r="E19" s="1" t="s">
        <v>13</v>
      </c>
      <c r="F19">
        <f>+[1]Condiciones!U17</f>
        <v>270</v>
      </c>
      <c r="G19" t="str">
        <f>+[1]Condiciones!$A$17</f>
        <v>USD</v>
      </c>
      <c r="H19">
        <f>+[1]Condiciones!AA19</f>
        <v>0</v>
      </c>
      <c r="I19">
        <f t="shared" si="2"/>
        <v>0</v>
      </c>
      <c r="J19">
        <f t="shared" si="0"/>
        <v>0</v>
      </c>
      <c r="K19" s="2">
        <f t="shared" si="3"/>
        <v>100</v>
      </c>
      <c r="L19" s="2">
        <f t="shared" si="1"/>
        <v>0</v>
      </c>
    </row>
    <row r="20" spans="1:12" x14ac:dyDescent="0.25">
      <c r="A20" t="str">
        <f>+[1]Condiciones!$B$17</f>
        <v>No Distingue</v>
      </c>
      <c r="B20" s="1">
        <v>100</v>
      </c>
      <c r="C20" t="str">
        <f>+[1]Condiciones!$C$17</f>
        <v>MACRO</v>
      </c>
      <c r="D20" t="s">
        <v>11</v>
      </c>
      <c r="E20" s="1" t="s">
        <v>13</v>
      </c>
      <c r="F20">
        <f>+[1]Condiciones!V17</f>
        <v>360</v>
      </c>
      <c r="G20" t="str">
        <f>+[1]Condiciones!$A$17</f>
        <v>USD</v>
      </c>
      <c r="H20">
        <f>+[1]Condiciones!AB19</f>
        <v>0</v>
      </c>
      <c r="I20">
        <f t="shared" si="2"/>
        <v>0</v>
      </c>
      <c r="J20">
        <f t="shared" si="0"/>
        <v>0</v>
      </c>
      <c r="K20" s="2">
        <f t="shared" si="3"/>
        <v>100</v>
      </c>
      <c r="L20" s="2">
        <f t="shared" si="1"/>
        <v>0</v>
      </c>
    </row>
    <row r="21" spans="1:12" x14ac:dyDescent="0.25">
      <c r="A21" t="str">
        <f>+[1]Condiciones!$B$17</f>
        <v>No Distingue</v>
      </c>
      <c r="B21" s="1">
        <v>100</v>
      </c>
      <c r="C21" t="str">
        <f>+[1]Condiciones!$C$17</f>
        <v>MACRO</v>
      </c>
      <c r="D21" t="s">
        <v>11</v>
      </c>
      <c r="E21" s="1" t="s">
        <v>12</v>
      </c>
      <c r="F21">
        <f>+[1]Condiciones!W17</f>
        <v>360</v>
      </c>
      <c r="G21" t="str">
        <f>+[1]Condiciones!$A$17</f>
        <v>USD</v>
      </c>
      <c r="H21">
        <f>+[1]Condiciones!AC19</f>
        <v>0.115</v>
      </c>
      <c r="I21">
        <f t="shared" si="2"/>
        <v>0</v>
      </c>
      <c r="J21">
        <f t="shared" si="0"/>
        <v>11.342465753424658</v>
      </c>
      <c r="K21" s="2">
        <f t="shared" si="3"/>
        <v>111.34246575342466</v>
      </c>
      <c r="L21" s="2">
        <f t="shared" si="1"/>
        <v>0.115</v>
      </c>
    </row>
    <row r="22" spans="1:12" x14ac:dyDescent="0.25">
      <c r="A22" t="str">
        <f>+[1]Condiciones!$B$21</f>
        <v>No Distingue</v>
      </c>
      <c r="B22" s="1">
        <v>100</v>
      </c>
      <c r="C22" t="str">
        <f>+[1]Condiciones!$C$21</f>
        <v>PATAGONIA</v>
      </c>
      <c r="D22" t="s">
        <v>11</v>
      </c>
      <c r="E22" s="1" t="s">
        <v>12</v>
      </c>
      <c r="F22">
        <f>+[1]Condiciones!T20</f>
        <v>180</v>
      </c>
      <c r="G22" t="str">
        <f>+[1]Condiciones!$A$21</f>
        <v>USD</v>
      </c>
      <c r="H22">
        <f>+[1]Condiciones!Z22</f>
        <v>1.4999999999999999E-2</v>
      </c>
      <c r="I22">
        <f t="shared" si="2"/>
        <v>0</v>
      </c>
      <c r="J22">
        <f t="shared" si="0"/>
        <v>0.73972602739726023</v>
      </c>
      <c r="K22" s="2">
        <f t="shared" si="3"/>
        <v>100.73972602739727</v>
      </c>
      <c r="L22" s="2">
        <f t="shared" si="1"/>
        <v>1.5000000000000185E-2</v>
      </c>
    </row>
    <row r="23" spans="1:12" x14ac:dyDescent="0.25">
      <c r="A23" t="str">
        <f>+[1]Condiciones!$B$21</f>
        <v>No Distingue</v>
      </c>
      <c r="B23" s="1">
        <v>100</v>
      </c>
      <c r="C23" t="str">
        <f>+[1]Condiciones!$C$21</f>
        <v>PATAGONIA</v>
      </c>
      <c r="D23" t="s">
        <v>11</v>
      </c>
      <c r="E23" s="1" t="s">
        <v>12</v>
      </c>
      <c r="F23">
        <f>+[1]Condiciones!U20</f>
        <v>210</v>
      </c>
      <c r="G23" t="str">
        <f>+[1]Condiciones!$A$21</f>
        <v>USD</v>
      </c>
      <c r="H23">
        <f>+[1]Condiciones!AA22</f>
        <v>0.04</v>
      </c>
      <c r="I23">
        <f t="shared" si="2"/>
        <v>0</v>
      </c>
      <c r="J23">
        <f t="shared" si="0"/>
        <v>2.3013698630136985</v>
      </c>
      <c r="K23" s="2">
        <f t="shared" si="3"/>
        <v>102.3013698630137</v>
      </c>
      <c r="L23" s="2">
        <f t="shared" si="1"/>
        <v>4.0000000000000063E-2</v>
      </c>
    </row>
    <row r="24" spans="1:12" x14ac:dyDescent="0.25">
      <c r="A24" t="str">
        <f>+[1]Condiciones!$B$21</f>
        <v>No Distingue</v>
      </c>
      <c r="B24" s="1">
        <v>100</v>
      </c>
      <c r="C24" t="str">
        <f>+[1]Condiciones!$C$21</f>
        <v>PATAGONIA</v>
      </c>
      <c r="D24" t="s">
        <v>11</v>
      </c>
      <c r="E24" s="1" t="s">
        <v>12</v>
      </c>
      <c r="F24">
        <f>+[1]Condiciones!V20</f>
        <v>270</v>
      </c>
      <c r="G24" t="str">
        <f>+[1]Condiciones!$A$21</f>
        <v>USD</v>
      </c>
      <c r="H24">
        <f>+[1]Condiciones!AB22</f>
        <v>7.0000000000000007E-2</v>
      </c>
      <c r="I24">
        <f t="shared" si="2"/>
        <v>0</v>
      </c>
      <c r="J24">
        <f t="shared" si="0"/>
        <v>5.1780821917808222</v>
      </c>
      <c r="K24" s="2">
        <f t="shared" si="3"/>
        <v>105.17808219178082</v>
      </c>
      <c r="L24" s="2">
        <f t="shared" si="1"/>
        <v>6.9999999999999965E-2</v>
      </c>
    </row>
    <row r="25" spans="1:12" x14ac:dyDescent="0.25">
      <c r="A25" t="str">
        <f>+[1]Condiciones!$B$28</f>
        <v>MiPyme</v>
      </c>
      <c r="B25" s="1">
        <v>100</v>
      </c>
      <c r="C25" t="str">
        <f>+[1]Condiciones!$C$28</f>
        <v>BANCOR</v>
      </c>
      <c r="D25" t="s">
        <v>11</v>
      </c>
      <c r="E25" s="1" t="s">
        <v>12</v>
      </c>
      <c r="F25">
        <f>+[1]Condiciones!T26</f>
        <v>180</v>
      </c>
      <c r="G25" t="str">
        <f>+[1]Condiciones!$A$28</f>
        <v>$</v>
      </c>
      <c r="H25">
        <f>+[1]Condiciones!Z28</f>
        <v>0.35</v>
      </c>
      <c r="I25">
        <f t="shared" si="2"/>
        <v>0</v>
      </c>
      <c r="J25">
        <f t="shared" si="0"/>
        <v>17.260273972602739</v>
      </c>
      <c r="K25" s="2">
        <f t="shared" si="3"/>
        <v>117.26027397260275</v>
      </c>
      <c r="L25" s="2">
        <f t="shared" si="1"/>
        <v>0.35000000000000014</v>
      </c>
    </row>
    <row r="26" spans="1:12" x14ac:dyDescent="0.25">
      <c r="A26" t="str">
        <f>+[1]Condiciones!$B$28</f>
        <v>MiPyme</v>
      </c>
      <c r="B26" s="1">
        <v>100</v>
      </c>
      <c r="C26" t="str">
        <f>+[1]Condiciones!$C$28</f>
        <v>BANCOR</v>
      </c>
      <c r="D26" t="s">
        <v>11</v>
      </c>
      <c r="E26" s="1" t="s">
        <v>12</v>
      </c>
      <c r="F26">
        <f>+[1]Condiciones!U26</f>
        <v>270</v>
      </c>
      <c r="G26" t="str">
        <f>+[1]Condiciones!$A$28</f>
        <v>$</v>
      </c>
      <c r="H26">
        <f>+[1]Condiciones!AA28</f>
        <v>0.38</v>
      </c>
      <c r="I26">
        <f t="shared" si="2"/>
        <v>0</v>
      </c>
      <c r="J26">
        <f t="shared" si="0"/>
        <v>28.109589041095891</v>
      </c>
      <c r="K26" s="2">
        <f t="shared" si="3"/>
        <v>128.10958904109589</v>
      </c>
      <c r="L26" s="2">
        <f t="shared" si="1"/>
        <v>0.37999999999999989</v>
      </c>
    </row>
    <row r="27" spans="1:12" x14ac:dyDescent="0.25">
      <c r="A27" t="str">
        <f>+[1]Condiciones!$B$28</f>
        <v>MiPyme</v>
      </c>
      <c r="B27" s="1">
        <v>100</v>
      </c>
      <c r="C27" t="str">
        <f>+[1]Condiciones!$C$28</f>
        <v>BANCOR</v>
      </c>
      <c r="D27" t="s">
        <v>11</v>
      </c>
      <c r="E27" s="1" t="s">
        <v>12</v>
      </c>
      <c r="F27">
        <f>+[1]Condiciones!V26</f>
        <v>360</v>
      </c>
      <c r="G27" t="str">
        <f>+[1]Condiciones!$A$28</f>
        <v>$</v>
      </c>
      <c r="H27">
        <f>+[1]Condiciones!AB28</f>
        <v>0.38</v>
      </c>
      <c r="I27">
        <f t="shared" si="2"/>
        <v>0</v>
      </c>
      <c r="J27">
        <f t="shared" si="0"/>
        <v>37.479452054794521</v>
      </c>
      <c r="K27" s="2">
        <f t="shared" si="3"/>
        <v>137.47945205479454</v>
      </c>
      <c r="L27" s="2">
        <f t="shared" si="1"/>
        <v>0.38000000000000006</v>
      </c>
    </row>
    <row r="28" spans="1:12" x14ac:dyDescent="0.25">
      <c r="A28" t="str">
        <f>+[1]Condiciones!$B$29</f>
        <v>No MiPyme</v>
      </c>
      <c r="B28" s="1">
        <v>100</v>
      </c>
      <c r="C28" t="str">
        <f>+[1]Condiciones!$C$29</f>
        <v>BANCOR</v>
      </c>
      <c r="D28" t="s">
        <v>11</v>
      </c>
      <c r="E28" s="1" t="s">
        <v>12</v>
      </c>
      <c r="F28">
        <f>+[1]Condiciones!T26</f>
        <v>180</v>
      </c>
      <c r="G28" t="str">
        <f>+[1]Condiciones!$A$29</f>
        <v>$</v>
      </c>
      <c r="H28">
        <f>+[1]Condiciones!Z30</f>
        <v>0.36</v>
      </c>
      <c r="I28">
        <f t="shared" si="2"/>
        <v>0</v>
      </c>
      <c r="J28">
        <f t="shared" si="0"/>
        <v>17.753424657534246</v>
      </c>
      <c r="K28" s="2">
        <f t="shared" si="3"/>
        <v>117.75342465753424</v>
      </c>
      <c r="L28" s="2">
        <f t="shared" si="1"/>
        <v>0.36</v>
      </c>
    </row>
    <row r="29" spans="1:12" x14ac:dyDescent="0.25">
      <c r="A29" t="str">
        <f>+[1]Condiciones!$B$29</f>
        <v>No MiPyme</v>
      </c>
      <c r="B29" s="1">
        <v>100</v>
      </c>
      <c r="C29" t="str">
        <f>+[1]Condiciones!$C$29</f>
        <v>BANCOR</v>
      </c>
      <c r="D29" t="s">
        <v>11</v>
      </c>
      <c r="E29" s="1" t="s">
        <v>12</v>
      </c>
      <c r="F29">
        <f>+[1]Condiciones!U26</f>
        <v>270</v>
      </c>
      <c r="G29" t="str">
        <f>+[1]Condiciones!$A$29</f>
        <v>$</v>
      </c>
      <c r="H29">
        <f>+[1]Condiciones!AA30</f>
        <v>0.39</v>
      </c>
      <c r="I29">
        <f t="shared" si="2"/>
        <v>0</v>
      </c>
      <c r="J29">
        <f t="shared" si="0"/>
        <v>28.849315068493155</v>
      </c>
      <c r="K29" s="2">
        <f t="shared" si="3"/>
        <v>128.84931506849315</v>
      </c>
      <c r="L29" s="2">
        <f t="shared" si="1"/>
        <v>0.39</v>
      </c>
    </row>
    <row r="30" spans="1:12" x14ac:dyDescent="0.25">
      <c r="A30" t="str">
        <f>+[1]Condiciones!$B$29</f>
        <v>No MiPyme</v>
      </c>
      <c r="B30" s="1">
        <v>100</v>
      </c>
      <c r="C30" t="str">
        <f>+[1]Condiciones!$C$29</f>
        <v>BANCOR</v>
      </c>
      <c r="D30" t="s">
        <v>11</v>
      </c>
      <c r="E30" s="1" t="s">
        <v>12</v>
      </c>
      <c r="F30">
        <f>+[1]Condiciones!V26</f>
        <v>360</v>
      </c>
      <c r="G30" t="str">
        <f>+[1]Condiciones!$A$29</f>
        <v>$</v>
      </c>
      <c r="H30">
        <f>+[1]Condiciones!AB30</f>
        <v>0.39</v>
      </c>
      <c r="I30">
        <f t="shared" si="2"/>
        <v>0</v>
      </c>
      <c r="J30">
        <f t="shared" si="0"/>
        <v>38.465753424657535</v>
      </c>
      <c r="K30" s="2">
        <f t="shared" si="3"/>
        <v>138.46575342465752</v>
      </c>
      <c r="L30" s="2">
        <f t="shared" si="1"/>
        <v>0.38999999999999985</v>
      </c>
    </row>
    <row r="31" spans="1:12" x14ac:dyDescent="0.25">
      <c r="A31" t="str">
        <f>+[1]Condiciones!$B$38</f>
        <v>MiPyme</v>
      </c>
      <c r="B31" s="1">
        <v>100</v>
      </c>
      <c r="C31" t="str">
        <f>+[1]Condiciones!$C$38</f>
        <v>SANTANDER</v>
      </c>
      <c r="D31" t="s">
        <v>11</v>
      </c>
      <c r="E31" s="1" t="s">
        <v>12</v>
      </c>
      <c r="F31">
        <f>+[1]Condiciones!S37</f>
        <v>180</v>
      </c>
      <c r="G31" t="str">
        <f>+[1]Condiciones!$A$38</f>
        <v>$</v>
      </c>
      <c r="H31">
        <f>+[1]Condiciones!Z39</f>
        <v>0.36</v>
      </c>
      <c r="I31">
        <f t="shared" si="2"/>
        <v>0</v>
      </c>
      <c r="J31">
        <f t="shared" si="0"/>
        <v>17.753424657534246</v>
      </c>
      <c r="K31" s="2">
        <f t="shared" si="3"/>
        <v>117.75342465753424</v>
      </c>
      <c r="L31" s="2">
        <f t="shared" si="1"/>
        <v>0.36</v>
      </c>
    </row>
    <row r="32" spans="1:12" x14ac:dyDescent="0.25">
      <c r="A32" t="str">
        <f>+[1]Condiciones!$B$38</f>
        <v>MiPyme</v>
      </c>
      <c r="B32" s="1">
        <v>100</v>
      </c>
      <c r="C32" t="str">
        <f>+[1]Condiciones!$C$38</f>
        <v>SANTANDER</v>
      </c>
      <c r="D32" t="s">
        <v>11</v>
      </c>
      <c r="E32" s="1" t="s">
        <v>12</v>
      </c>
      <c r="F32">
        <f>+[1]Condiciones!T37</f>
        <v>270</v>
      </c>
      <c r="G32" t="str">
        <f>+[1]Condiciones!$A$38</f>
        <v>$</v>
      </c>
      <c r="H32">
        <f>+[1]Condiciones!AA39</f>
        <v>0.39</v>
      </c>
      <c r="I32">
        <f t="shared" si="2"/>
        <v>0</v>
      </c>
      <c r="J32">
        <f t="shared" si="0"/>
        <v>28.849315068493155</v>
      </c>
      <c r="K32" s="2">
        <f t="shared" si="3"/>
        <v>128.84931506849315</v>
      </c>
      <c r="L32" s="2">
        <f t="shared" si="1"/>
        <v>0.39</v>
      </c>
    </row>
    <row r="33" spans="1:12" x14ac:dyDescent="0.25">
      <c r="A33" t="str">
        <f>+[1]Condiciones!$B$38</f>
        <v>MiPyme</v>
      </c>
      <c r="B33" s="1">
        <v>100</v>
      </c>
      <c r="C33" t="str">
        <f>+[1]Condiciones!$C$38</f>
        <v>SANTANDER</v>
      </c>
      <c r="D33" t="s">
        <v>11</v>
      </c>
      <c r="E33" s="1" t="s">
        <v>12</v>
      </c>
      <c r="F33">
        <f>+[1]Condiciones!U37</f>
        <v>360</v>
      </c>
      <c r="G33" t="str">
        <f>+[1]Condiciones!$A$38</f>
        <v>$</v>
      </c>
      <c r="H33">
        <f>+[1]Condiciones!AB39</f>
        <v>0.42</v>
      </c>
      <c r="I33">
        <f t="shared" si="2"/>
        <v>0</v>
      </c>
      <c r="J33">
        <f t="shared" si="0"/>
        <v>41.42465753424657</v>
      </c>
      <c r="K33" s="2">
        <f t="shared" si="3"/>
        <v>141.42465753424659</v>
      </c>
      <c r="L33" s="2">
        <f t="shared" si="1"/>
        <v>0.42000000000000026</v>
      </c>
    </row>
    <row r="34" spans="1:12" x14ac:dyDescent="0.25">
      <c r="A34" t="str">
        <f>+[1]Condiciones!$B$39</f>
        <v>No MiPyme</v>
      </c>
      <c r="B34" s="1">
        <v>100</v>
      </c>
      <c r="C34" t="str">
        <f>+[1]Condiciones!$C$39</f>
        <v>SANTANDER</v>
      </c>
      <c r="D34" t="s">
        <v>11</v>
      </c>
      <c r="E34" t="s">
        <v>12</v>
      </c>
      <c r="F34">
        <f>+[1]Condiciones!V37</f>
        <v>180</v>
      </c>
      <c r="G34" t="str">
        <f>+[1]Condiciones!$A$39</f>
        <v>$</v>
      </c>
      <c r="H34">
        <f>+[1]Condiciones!AC39</f>
        <v>0.38</v>
      </c>
      <c r="I34">
        <f t="shared" si="2"/>
        <v>0</v>
      </c>
      <c r="J34">
        <f t="shared" si="0"/>
        <v>18.739726027397261</v>
      </c>
      <c r="K34" s="2">
        <f t="shared" si="3"/>
        <v>118.73972602739727</v>
      </c>
      <c r="L34" s="2">
        <f t="shared" si="1"/>
        <v>0.38000000000000006</v>
      </c>
    </row>
    <row r="35" spans="1:12" x14ac:dyDescent="0.25">
      <c r="A35" t="str">
        <f>+[1]Condiciones!$B$39</f>
        <v>No MiPyme</v>
      </c>
      <c r="B35" s="1">
        <v>100</v>
      </c>
      <c r="C35" t="str">
        <f>+[1]Condiciones!$C$39</f>
        <v>SANTANDER</v>
      </c>
      <c r="D35" t="s">
        <v>11</v>
      </c>
      <c r="E35" t="s">
        <v>12</v>
      </c>
      <c r="F35">
        <f>+[1]Condiciones!W37</f>
        <v>270</v>
      </c>
      <c r="G35" t="str">
        <f>+[1]Condiciones!$A$39</f>
        <v>$</v>
      </c>
      <c r="H35">
        <f>+[1]Condiciones!AD39</f>
        <v>0.41</v>
      </c>
      <c r="I35">
        <f t="shared" si="2"/>
        <v>0</v>
      </c>
      <c r="J35">
        <f t="shared" si="0"/>
        <v>30.328767123287669</v>
      </c>
      <c r="K35" s="2">
        <f t="shared" si="3"/>
        <v>130.32876712328766</v>
      </c>
      <c r="L35" s="2">
        <f t="shared" si="1"/>
        <v>0.41000000000000003</v>
      </c>
    </row>
    <row r="36" spans="1:12" x14ac:dyDescent="0.25">
      <c r="A36" t="str">
        <f>+[1]Condiciones!$B$39</f>
        <v>No MiPyme</v>
      </c>
      <c r="B36" s="1">
        <v>100</v>
      </c>
      <c r="C36" t="str">
        <f>+[1]Condiciones!$C$39</f>
        <v>SANTANDER</v>
      </c>
      <c r="D36" t="s">
        <v>11</v>
      </c>
      <c r="E36" t="s">
        <v>12</v>
      </c>
      <c r="F36">
        <f>+[1]Condiciones!X37</f>
        <v>360</v>
      </c>
      <c r="G36" t="str">
        <f>+[1]Condiciones!$A$39</f>
        <v>$</v>
      </c>
      <c r="H36">
        <f>+[1]Condiciones!AE39</f>
        <v>0.45</v>
      </c>
      <c r="I36">
        <f t="shared" si="2"/>
        <v>0</v>
      </c>
      <c r="J36">
        <f t="shared" si="0"/>
        <v>44.38356164383562</v>
      </c>
      <c r="K36" s="2">
        <f t="shared" si="3"/>
        <v>144.38356164383561</v>
      </c>
      <c r="L36" s="2">
        <f t="shared" si="1"/>
        <v>0.45</v>
      </c>
    </row>
    <row r="37" spans="1:12" x14ac:dyDescent="0.25">
      <c r="A37" t="str">
        <f>+[1]Condiciones!$B$41</f>
        <v>MiPyme</v>
      </c>
      <c r="B37" s="1">
        <v>100</v>
      </c>
      <c r="C37" t="str">
        <f>+[1]Condiciones!$C$41</f>
        <v>BERSA</v>
      </c>
      <c r="D37" t="s">
        <v>11</v>
      </c>
      <c r="E37" t="s">
        <v>12</v>
      </c>
      <c r="F37">
        <f>+[1]Condiciones!S41</f>
        <v>180</v>
      </c>
      <c r="G37" t="str">
        <f>+[1]Condiciones!$A$41</f>
        <v>$</v>
      </c>
      <c r="H37">
        <f>+[1]Condiciones!Z43</f>
        <v>0.68</v>
      </c>
      <c r="I37">
        <f t="shared" si="2"/>
        <v>0</v>
      </c>
      <c r="J37">
        <f t="shared" si="0"/>
        <v>33.534246575342472</v>
      </c>
      <c r="K37" s="2">
        <f t="shared" si="3"/>
        <v>133.53424657534248</v>
      </c>
      <c r="L37" s="2">
        <f t="shared" si="1"/>
        <v>0.68000000000000016</v>
      </c>
    </row>
    <row r="38" spans="1:12" x14ac:dyDescent="0.25">
      <c r="A38" t="str">
        <f>+[1]Condiciones!$B$41</f>
        <v>MiPyme</v>
      </c>
      <c r="B38" s="1">
        <v>100</v>
      </c>
      <c r="C38" t="str">
        <f>+[1]Condiciones!$C$41</f>
        <v>BERSA</v>
      </c>
      <c r="D38" t="s">
        <v>11</v>
      </c>
      <c r="E38" t="s">
        <v>12</v>
      </c>
      <c r="F38">
        <f>+[1]Condiciones!T41</f>
        <v>240</v>
      </c>
      <c r="G38" t="str">
        <f>+[1]Condiciones!$A$41</f>
        <v>$</v>
      </c>
      <c r="H38">
        <f>+[1]Condiciones!AA43</f>
        <v>0.76319999999999999</v>
      </c>
      <c r="I38">
        <f t="shared" si="2"/>
        <v>0</v>
      </c>
      <c r="J38">
        <f t="shared" si="0"/>
        <v>50.183013698630127</v>
      </c>
      <c r="K38" s="2">
        <f t="shared" si="3"/>
        <v>150.18301369863013</v>
      </c>
      <c r="L38" s="2">
        <f t="shared" si="1"/>
        <v>0.7632000000000001</v>
      </c>
    </row>
    <row r="39" spans="1:12" x14ac:dyDescent="0.25">
      <c r="A39" t="str">
        <f>+[1]Condiciones!$B$42</f>
        <v>No MiPyme</v>
      </c>
      <c r="B39" s="1">
        <v>100</v>
      </c>
      <c r="C39" t="str">
        <f>+[1]Condiciones!$C$42</f>
        <v>BERSA</v>
      </c>
      <c r="D39" t="s">
        <v>11</v>
      </c>
      <c r="E39" t="s">
        <v>12</v>
      </c>
      <c r="F39">
        <f>+[1]Condiciones!V41</f>
        <v>180</v>
      </c>
      <c r="G39" t="str">
        <f>+[1]Condiciones!$A$42</f>
        <v>$</v>
      </c>
      <c r="H39">
        <f>+[1]Condiciones!AC43</f>
        <v>0.77429999999999999</v>
      </c>
      <c r="I39">
        <f t="shared" si="2"/>
        <v>0</v>
      </c>
      <c r="J39">
        <f t="shared" si="0"/>
        <v>38.184657534246568</v>
      </c>
      <c r="K39" s="2">
        <f t="shared" si="3"/>
        <v>138.18465753424655</v>
      </c>
      <c r="L39" s="2">
        <f t="shared" si="1"/>
        <v>0.77429999999999954</v>
      </c>
    </row>
    <row r="40" spans="1:12" x14ac:dyDescent="0.25">
      <c r="A40" t="str">
        <f>+[1]Condiciones!$B$42</f>
        <v>No MiPyme</v>
      </c>
      <c r="B40" s="1">
        <v>100</v>
      </c>
      <c r="C40" t="str">
        <f>+[1]Condiciones!$C$42</f>
        <v>BERSA</v>
      </c>
      <c r="D40" t="s">
        <v>11</v>
      </c>
      <c r="E40" t="s">
        <v>12</v>
      </c>
      <c r="F40">
        <f>+[1]Condiciones!W41</f>
        <v>240</v>
      </c>
      <c r="G40" t="str">
        <f>+[1]Condiciones!$A$42</f>
        <v>$</v>
      </c>
      <c r="H40">
        <f>+[1]Condiciones!AD43</f>
        <v>0.8075</v>
      </c>
      <c r="I40">
        <f t="shared" si="2"/>
        <v>0</v>
      </c>
      <c r="J40">
        <f t="shared" si="0"/>
        <v>53.095890410958901</v>
      </c>
      <c r="K40" s="2">
        <f t="shared" si="3"/>
        <v>153.0958904109589</v>
      </c>
      <c r="L40" s="2">
        <f t="shared" si="1"/>
        <v>0.8075</v>
      </c>
    </row>
    <row r="41" spans="1:12" x14ac:dyDescent="0.25">
      <c r="A41" t="str">
        <f>+[1]Condiciones!$B$45</f>
        <v>No Distingue</v>
      </c>
      <c r="B41" s="1">
        <v>100</v>
      </c>
      <c r="C41" t="str">
        <f>+[1]Condiciones!$C$45</f>
        <v>PATAGONIA</v>
      </c>
      <c r="D41" t="s">
        <v>11</v>
      </c>
      <c r="E41" t="s">
        <v>12</v>
      </c>
      <c r="F41">
        <f>+[1]Condiciones!T44</f>
        <v>180</v>
      </c>
      <c r="G41" t="str">
        <f>+[1]Condiciones!$A$45</f>
        <v>$</v>
      </c>
      <c r="H41">
        <f>+[1]Condiciones!Z46</f>
        <v>0.35</v>
      </c>
      <c r="I41">
        <f t="shared" si="2"/>
        <v>0</v>
      </c>
      <c r="J41">
        <f t="shared" si="0"/>
        <v>17.260273972602739</v>
      </c>
      <c r="K41" s="2">
        <f t="shared" si="3"/>
        <v>117.26027397260275</v>
      </c>
      <c r="L41" s="2">
        <f t="shared" si="1"/>
        <v>0.35000000000000014</v>
      </c>
    </row>
    <row r="42" spans="1:12" x14ac:dyDescent="0.25">
      <c r="A42" t="str">
        <f>+[1]Condiciones!$B$45</f>
        <v>No Distingue</v>
      </c>
      <c r="B42" s="1">
        <v>100</v>
      </c>
      <c r="C42" t="str">
        <f>+[1]Condiciones!$C$45</f>
        <v>PATAGONIA</v>
      </c>
      <c r="D42" t="s">
        <v>11</v>
      </c>
      <c r="E42" t="s">
        <v>12</v>
      </c>
      <c r="F42">
        <f>+[1]Condiciones!U44</f>
        <v>210</v>
      </c>
      <c r="G42" t="str">
        <f>+[1]Condiciones!$A$45</f>
        <v>$</v>
      </c>
      <c r="H42">
        <f>+[1]Condiciones!AA46</f>
        <v>0.35499999999999998</v>
      </c>
      <c r="I42">
        <f t="shared" si="2"/>
        <v>0</v>
      </c>
      <c r="J42">
        <f t="shared" si="0"/>
        <v>20.424657534246574</v>
      </c>
      <c r="K42" s="2">
        <f t="shared" si="3"/>
        <v>120.42465753424658</v>
      </c>
      <c r="L42" s="2">
        <f t="shared" si="1"/>
        <v>0.35500000000000015</v>
      </c>
    </row>
    <row r="43" spans="1:12" x14ac:dyDescent="0.25">
      <c r="A43" t="str">
        <f>+[1]Condiciones!$B$45</f>
        <v>No Distingue</v>
      </c>
      <c r="B43" s="1">
        <v>100</v>
      </c>
      <c r="C43" t="str">
        <f>+[1]Condiciones!$C$45</f>
        <v>PATAGONIA</v>
      </c>
      <c r="D43" t="s">
        <v>11</v>
      </c>
      <c r="E43" t="s">
        <v>12</v>
      </c>
      <c r="F43">
        <f>+[1]Condiciones!V44</f>
        <v>270</v>
      </c>
      <c r="G43" t="str">
        <f>+[1]Condiciones!$A$45</f>
        <v>$</v>
      </c>
      <c r="H43">
        <f>+[1]Condiciones!AB46</f>
        <v>0.36</v>
      </c>
      <c r="I43">
        <f t="shared" si="2"/>
        <v>0</v>
      </c>
      <c r="J43">
        <f t="shared" si="0"/>
        <v>26.630136986301366</v>
      </c>
      <c r="K43" s="2">
        <f t="shared" si="3"/>
        <v>126.63013698630137</v>
      </c>
      <c r="L43" s="2">
        <f t="shared" si="1"/>
        <v>0.36</v>
      </c>
    </row>
    <row r="44" spans="1:12" x14ac:dyDescent="0.25">
      <c r="A44" t="str">
        <f>+[1]Condiciones!$B$49</f>
        <v>Pyme</v>
      </c>
      <c r="B44" s="1">
        <v>100</v>
      </c>
      <c r="C44" t="str">
        <f>+[1]Condiciones!$C$49</f>
        <v>PROCAMPO DIGITAL</v>
      </c>
      <c r="D44" t="s">
        <v>11</v>
      </c>
      <c r="E44" t="s">
        <v>12</v>
      </c>
      <c r="F44">
        <f>+[1]Condiciones!P48</f>
        <v>180</v>
      </c>
      <c r="G44" t="str">
        <f>+[1]Condiciones!$A$49</f>
        <v>$</v>
      </c>
      <c r="H44">
        <f>+[1]Condiciones!Z49</f>
        <v>0.37</v>
      </c>
      <c r="I44">
        <f t="shared" si="2"/>
        <v>0</v>
      </c>
      <c r="J44">
        <f t="shared" si="0"/>
        <v>18.246575342465754</v>
      </c>
      <c r="K44" s="2">
        <f t="shared" si="3"/>
        <v>118.24657534246575</v>
      </c>
      <c r="L44" s="2">
        <f t="shared" si="1"/>
        <v>0.36999999999999977</v>
      </c>
    </row>
    <row r="45" spans="1:12" x14ac:dyDescent="0.25">
      <c r="A45" t="str">
        <f>+[1]Condiciones!$B$49</f>
        <v>Pyme</v>
      </c>
      <c r="B45" s="3">
        <v>100</v>
      </c>
      <c r="C45" t="str">
        <f>+[1]Condiciones!$C$49</f>
        <v>PROCAMPO DIGITAL</v>
      </c>
      <c r="D45" t="s">
        <v>11</v>
      </c>
      <c r="E45" t="s">
        <v>12</v>
      </c>
      <c r="F45">
        <f>+[1]Condiciones!S48</f>
        <v>270</v>
      </c>
      <c r="G45" t="str">
        <f>+[1]Condiciones!$A$49</f>
        <v>$</v>
      </c>
      <c r="H45">
        <f>+[1]Condiciones!AC49</f>
        <v>0.37</v>
      </c>
      <c r="I45">
        <f t="shared" si="2"/>
        <v>0</v>
      </c>
      <c r="J45">
        <f t="shared" si="0"/>
        <v>27.36986301369863</v>
      </c>
      <c r="K45" s="2">
        <f t="shared" si="3"/>
        <v>127.36986301369863</v>
      </c>
      <c r="L45" s="2">
        <f t="shared" si="1"/>
        <v>0.37000000000000011</v>
      </c>
    </row>
    <row r="46" spans="1:12" x14ac:dyDescent="0.25">
      <c r="A46" t="str">
        <f>+[1]Condiciones!$B$49</f>
        <v>Pyme</v>
      </c>
      <c r="B46" s="3">
        <v>100</v>
      </c>
      <c r="C46" t="str">
        <f>+[1]Condiciones!$C$49</f>
        <v>PROCAMPO DIGITAL</v>
      </c>
      <c r="D46" t="s">
        <v>11</v>
      </c>
      <c r="E46" t="s">
        <v>12</v>
      </c>
      <c r="F46">
        <f>+[1]Condiciones!V48</f>
        <v>360</v>
      </c>
      <c r="G46" t="str">
        <f>+[1]Condiciones!$A$49</f>
        <v>$</v>
      </c>
      <c r="H46">
        <f>+[1]Condiciones!AF49</f>
        <v>0.37</v>
      </c>
      <c r="I46">
        <f t="shared" si="2"/>
        <v>0</v>
      </c>
      <c r="J46">
        <f t="shared" si="0"/>
        <v>36.493150684931507</v>
      </c>
      <c r="K46" s="2">
        <f t="shared" si="3"/>
        <v>136.49315068493152</v>
      </c>
      <c r="L46" s="2">
        <f t="shared" si="1"/>
        <v>0.37000000000000027</v>
      </c>
    </row>
    <row r="47" spans="1:12" x14ac:dyDescent="0.25">
      <c r="A47" t="str">
        <f>+[1]Condiciones!$B$50</f>
        <v>Pyme</v>
      </c>
      <c r="B47" s="3">
        <v>100</v>
      </c>
      <c r="C47" t="str">
        <f>+[1]Condiciones!$C$50</f>
        <v>PROCAMPO DIGITAL - Promo 1</v>
      </c>
      <c r="D47" t="s">
        <v>11</v>
      </c>
      <c r="E47" t="s">
        <v>12</v>
      </c>
      <c r="F47">
        <f>+[1]Condiciones!P48</f>
        <v>180</v>
      </c>
      <c r="G47" t="str">
        <f>+[1]Condiciones!$A$50</f>
        <v>$</v>
      </c>
      <c r="H47">
        <f>+[1]Condiciones!AA49</f>
        <v>0.27</v>
      </c>
      <c r="I47">
        <f t="shared" si="2"/>
        <v>0</v>
      </c>
      <c r="J47">
        <f t="shared" si="0"/>
        <v>13.315068493150687</v>
      </c>
      <c r="K47" s="2">
        <f t="shared" si="3"/>
        <v>113.31506849315069</v>
      </c>
      <c r="L47" s="2">
        <f t="shared" si="1"/>
        <v>0.27000000000000018</v>
      </c>
    </row>
    <row r="48" spans="1:12" x14ac:dyDescent="0.25">
      <c r="A48" t="str">
        <f>+[1]Condiciones!$B$50</f>
        <v>Pyme</v>
      </c>
      <c r="B48" s="3">
        <v>100</v>
      </c>
      <c r="C48" t="str">
        <f>+[1]Condiciones!$C$50</f>
        <v>PROCAMPO DIGITAL - Promo 1</v>
      </c>
      <c r="D48" t="s">
        <v>11</v>
      </c>
      <c r="E48" t="s">
        <v>12</v>
      </c>
      <c r="F48">
        <f>+[1]Condiciones!S48</f>
        <v>270</v>
      </c>
      <c r="G48" t="str">
        <f>+[1]Condiciones!$A$50</f>
        <v>$</v>
      </c>
      <c r="H48">
        <f>+[1]Condiciones!AD49</f>
        <v>0.3</v>
      </c>
      <c r="I48">
        <f t="shared" si="2"/>
        <v>0</v>
      </c>
      <c r="J48">
        <f t="shared" si="0"/>
        <v>22.191780821917806</v>
      </c>
      <c r="K48" s="2">
        <f t="shared" si="3"/>
        <v>122.19178082191782</v>
      </c>
      <c r="L48" s="2">
        <f t="shared" si="1"/>
        <v>0.30000000000000016</v>
      </c>
    </row>
    <row r="49" spans="1:12" x14ac:dyDescent="0.25">
      <c r="A49" t="str">
        <f>+[1]Condiciones!$B$50</f>
        <v>Pyme</v>
      </c>
      <c r="B49" s="3">
        <v>100</v>
      </c>
      <c r="C49" t="str">
        <f>+[1]Condiciones!$C$50</f>
        <v>PROCAMPO DIGITAL - Promo 1</v>
      </c>
      <c r="D49" t="s">
        <v>11</v>
      </c>
      <c r="E49" t="s">
        <v>12</v>
      </c>
      <c r="F49">
        <f>+[1]Condiciones!V48</f>
        <v>360</v>
      </c>
      <c r="G49" t="str">
        <f>+[1]Condiciones!$A$50</f>
        <v>$</v>
      </c>
      <c r="H49">
        <f>+[1]Condiciones!AG49</f>
        <v>0.31</v>
      </c>
      <c r="I49">
        <f t="shared" si="2"/>
        <v>0</v>
      </c>
      <c r="J49">
        <f t="shared" si="0"/>
        <v>30.575342465753426</v>
      </c>
      <c r="K49" s="2">
        <f t="shared" si="3"/>
        <v>130.57534246575341</v>
      </c>
      <c r="L49" s="2">
        <f t="shared" si="1"/>
        <v>0.30999999999999994</v>
      </c>
    </row>
    <row r="50" spans="1:12" x14ac:dyDescent="0.25">
      <c r="A50" t="str">
        <f>+[1]Condiciones!$B$51</f>
        <v>Pyme</v>
      </c>
      <c r="B50" s="3">
        <v>100</v>
      </c>
      <c r="C50" t="str">
        <f>+[1]Condiciones!$C$51</f>
        <v>PROCAMPO DIGITAL - Promo 2</v>
      </c>
      <c r="D50" t="s">
        <v>11</v>
      </c>
      <c r="E50" t="s">
        <v>12</v>
      </c>
      <c r="F50">
        <f>+[1]Condiciones!P48</f>
        <v>180</v>
      </c>
      <c r="G50" t="str">
        <f>+[1]Condiciones!$A$51</f>
        <v>$</v>
      </c>
      <c r="H50">
        <f>+[1]Condiciones!AB49</f>
        <v>0.15</v>
      </c>
      <c r="I50">
        <f t="shared" si="2"/>
        <v>0</v>
      </c>
      <c r="J50">
        <f t="shared" si="0"/>
        <v>7.397260273972603</v>
      </c>
      <c r="K50" s="2">
        <f t="shared" si="3"/>
        <v>107.39726027397261</v>
      </c>
      <c r="L50" s="2">
        <f t="shared" si="1"/>
        <v>0.15000000000000008</v>
      </c>
    </row>
    <row r="51" spans="1:12" x14ac:dyDescent="0.25">
      <c r="A51" t="str">
        <f>+[1]Condiciones!$B$51</f>
        <v>Pyme</v>
      </c>
      <c r="B51" s="3">
        <v>100</v>
      </c>
      <c r="C51" t="str">
        <f>+[1]Condiciones!$C$51</f>
        <v>PROCAMPO DIGITAL - Promo 2</v>
      </c>
      <c r="D51" t="s">
        <v>11</v>
      </c>
      <c r="E51" t="s">
        <v>12</v>
      </c>
      <c r="F51">
        <f>+[1]Condiciones!S48</f>
        <v>270</v>
      </c>
      <c r="G51" t="str">
        <f>+[1]Condiciones!$A$51</f>
        <v>$</v>
      </c>
      <c r="H51">
        <f>+[1]Condiciones!AE49</f>
        <v>0.21</v>
      </c>
      <c r="I51">
        <f t="shared" si="2"/>
        <v>0</v>
      </c>
      <c r="J51">
        <f t="shared" si="0"/>
        <v>15.534246575342465</v>
      </c>
      <c r="K51" s="2">
        <f t="shared" si="3"/>
        <v>115.53424657534246</v>
      </c>
      <c r="L51" s="2">
        <f t="shared" si="1"/>
        <v>0.20999999999999991</v>
      </c>
    </row>
    <row r="52" spans="1:12" x14ac:dyDescent="0.25">
      <c r="A52" t="str">
        <f>+[1]Condiciones!$B$51</f>
        <v>Pyme</v>
      </c>
      <c r="B52" s="3">
        <v>100</v>
      </c>
      <c r="C52" t="str">
        <f>+[1]Condiciones!$C$51</f>
        <v>PROCAMPO DIGITAL - Promo 2</v>
      </c>
      <c r="D52" t="s">
        <v>11</v>
      </c>
      <c r="E52" t="s">
        <v>12</v>
      </c>
      <c r="F52">
        <f>+[1]Condiciones!V48</f>
        <v>360</v>
      </c>
      <c r="G52" t="str">
        <f>+[1]Condiciones!$A$51</f>
        <v>$</v>
      </c>
      <c r="H52">
        <f>+[1]Condiciones!AH49</f>
        <v>0.24</v>
      </c>
      <c r="I52">
        <f t="shared" si="2"/>
        <v>0</v>
      </c>
      <c r="J52">
        <f t="shared" si="0"/>
        <v>23.671232876712327</v>
      </c>
      <c r="K52" s="2">
        <f t="shared" si="3"/>
        <v>123.67123287671234</v>
      </c>
      <c r="L52" s="2">
        <f t="shared" si="1"/>
        <v>0.24000000000000005</v>
      </c>
    </row>
    <row r="53" spans="1:12" x14ac:dyDescent="0.25">
      <c r="A53" t="str">
        <f>+[1]Condiciones!$B$52</f>
        <v>MiPyme</v>
      </c>
      <c r="B53" s="1">
        <v>100</v>
      </c>
      <c r="C53" t="str">
        <f>+[1]Condiciones!$C$52</f>
        <v>MACRO</v>
      </c>
      <c r="D53" t="s">
        <v>11</v>
      </c>
      <c r="E53" t="s">
        <v>12</v>
      </c>
      <c r="F53">
        <f>+[1]Condiciones!S53</f>
        <v>180</v>
      </c>
      <c r="G53" t="str">
        <f>+[1]Condiciones!$A$52</f>
        <v>$</v>
      </c>
      <c r="H53">
        <f>+[1]Condiciones!Z55</f>
        <v>0.20499999999999999</v>
      </c>
      <c r="I53">
        <f t="shared" si="2"/>
        <v>0</v>
      </c>
      <c r="J53">
        <f t="shared" si="0"/>
        <v>10.109589041095891</v>
      </c>
      <c r="K53" s="2">
        <f t="shared" si="3"/>
        <v>110.10958904109589</v>
      </c>
      <c r="L53" s="2">
        <f t="shared" si="1"/>
        <v>0.20500000000000002</v>
      </c>
    </row>
    <row r="54" spans="1:12" x14ac:dyDescent="0.25">
      <c r="A54" t="str">
        <f>+[1]Condiciones!$B$52</f>
        <v>MiPyme</v>
      </c>
      <c r="B54" s="1">
        <v>100</v>
      </c>
      <c r="C54" t="str">
        <f>+[1]Condiciones!$C$52</f>
        <v>MACRO</v>
      </c>
      <c r="D54" t="s">
        <v>11</v>
      </c>
      <c r="E54" t="s">
        <v>12</v>
      </c>
      <c r="F54">
        <f>+[1]Condiciones!T53</f>
        <v>270</v>
      </c>
      <c r="G54" t="str">
        <f>+[1]Condiciones!$A$52</f>
        <v>$</v>
      </c>
      <c r="H54">
        <f>+[1]Condiciones!AA55</f>
        <v>0.28999999999999998</v>
      </c>
      <c r="I54">
        <f t="shared" si="2"/>
        <v>0</v>
      </c>
      <c r="J54">
        <f t="shared" si="0"/>
        <v>21.452054794520549</v>
      </c>
      <c r="K54" s="2">
        <f t="shared" si="3"/>
        <v>121.45205479452055</v>
      </c>
      <c r="L54" s="2">
        <f t="shared" si="1"/>
        <v>0.28999999999999998</v>
      </c>
    </row>
    <row r="55" spans="1:12" x14ac:dyDescent="0.25">
      <c r="A55" t="str">
        <f>+[1]Condiciones!$B$52</f>
        <v>MiPyme</v>
      </c>
      <c r="B55" s="1">
        <v>100</v>
      </c>
      <c r="C55" t="str">
        <f>+[1]Condiciones!$C$52</f>
        <v>MACRO</v>
      </c>
      <c r="D55" t="s">
        <v>11</v>
      </c>
      <c r="E55" t="s">
        <v>12</v>
      </c>
      <c r="F55">
        <f>+[1]Condiciones!U53</f>
        <v>360</v>
      </c>
      <c r="G55" t="str">
        <f>+[1]Condiciones!$A$52</f>
        <v>$</v>
      </c>
      <c r="H55">
        <f>+[1]Condiciones!AB55</f>
        <v>0.34250000000000003</v>
      </c>
      <c r="I55">
        <f t="shared" si="2"/>
        <v>0</v>
      </c>
      <c r="J55">
        <f t="shared" si="0"/>
        <v>33.780821917808218</v>
      </c>
      <c r="K55" s="2">
        <f t="shared" si="3"/>
        <v>133.78082191780823</v>
      </c>
      <c r="L55" s="2">
        <f t="shared" si="1"/>
        <v>0.34250000000000003</v>
      </c>
    </row>
    <row r="56" spans="1:12" x14ac:dyDescent="0.25">
      <c r="A56" t="str">
        <f>+[1]Condiciones!$B$53</f>
        <v>No MiPyme</v>
      </c>
      <c r="B56" s="1">
        <v>100</v>
      </c>
      <c r="C56" t="str">
        <f>+[1]Condiciones!$C$53</f>
        <v>MACRO</v>
      </c>
      <c r="D56" t="s">
        <v>11</v>
      </c>
      <c r="E56" t="s">
        <v>12</v>
      </c>
      <c r="F56">
        <f>+[1]Condiciones!V53</f>
        <v>180</v>
      </c>
      <c r="G56" t="str">
        <f>+[1]Condiciones!$A$53</f>
        <v>$</v>
      </c>
      <c r="H56">
        <f>+[1]Condiciones!AC55</f>
        <v>0.20499999999999999</v>
      </c>
      <c r="I56">
        <f t="shared" si="2"/>
        <v>0</v>
      </c>
      <c r="J56">
        <f t="shared" si="0"/>
        <v>10.109589041095891</v>
      </c>
      <c r="K56" s="2">
        <f t="shared" si="3"/>
        <v>110.10958904109589</v>
      </c>
      <c r="L56" s="2">
        <f t="shared" si="1"/>
        <v>0.20500000000000002</v>
      </c>
    </row>
    <row r="57" spans="1:12" x14ac:dyDescent="0.25">
      <c r="A57" t="str">
        <f>+[1]Condiciones!$B$53</f>
        <v>No MiPyme</v>
      </c>
      <c r="B57" s="1">
        <v>100</v>
      </c>
      <c r="C57" t="str">
        <f>+[1]Condiciones!$C$53</f>
        <v>MACRO</v>
      </c>
      <c r="D57" t="s">
        <v>11</v>
      </c>
      <c r="E57" t="s">
        <v>12</v>
      </c>
      <c r="F57">
        <f>+[1]Condiciones!W53</f>
        <v>270</v>
      </c>
      <c r="G57" t="str">
        <f>+[1]Condiciones!$A$53</f>
        <v>$</v>
      </c>
      <c r="H57">
        <f>+[1]Condiciones!AD55</f>
        <v>0.28999999999999998</v>
      </c>
      <c r="I57">
        <f t="shared" si="2"/>
        <v>0</v>
      </c>
      <c r="J57">
        <f t="shared" si="0"/>
        <v>21.452054794520549</v>
      </c>
      <c r="K57" s="2">
        <f t="shared" si="3"/>
        <v>121.45205479452055</v>
      </c>
      <c r="L57" s="2">
        <f t="shared" si="1"/>
        <v>0.28999999999999998</v>
      </c>
    </row>
    <row r="58" spans="1:12" x14ac:dyDescent="0.25">
      <c r="A58" t="str">
        <f>+[1]Condiciones!$B$53</f>
        <v>No MiPyme</v>
      </c>
      <c r="B58" s="1">
        <v>100</v>
      </c>
      <c r="C58" t="str">
        <f>+[1]Condiciones!$C$53</f>
        <v>MACRO</v>
      </c>
      <c r="D58" t="s">
        <v>11</v>
      </c>
      <c r="E58" t="s">
        <v>12</v>
      </c>
      <c r="F58">
        <f>+[1]Condiciones!X53</f>
        <v>360</v>
      </c>
      <c r="G58" t="str">
        <f>+[1]Condiciones!$A$53</f>
        <v>$</v>
      </c>
      <c r="H58">
        <f>+[1]Condiciones!AE55</f>
        <v>0.34250000000000003</v>
      </c>
      <c r="I58">
        <f t="shared" si="2"/>
        <v>0</v>
      </c>
      <c r="J58">
        <f t="shared" si="0"/>
        <v>33.780821917808218</v>
      </c>
      <c r="K58" s="2">
        <f t="shared" si="3"/>
        <v>133.78082191780823</v>
      </c>
      <c r="L58" s="2">
        <f t="shared" si="1"/>
        <v>0.34250000000000003</v>
      </c>
    </row>
    <row r="59" spans="1:12" x14ac:dyDescent="0.25">
      <c r="A59" t="str">
        <f>+[1]Condiciones!$B$66</f>
        <v>No Distingue</v>
      </c>
      <c r="B59" s="1">
        <v>100</v>
      </c>
      <c r="C59" t="str">
        <f>+[1]Condiciones!$C$66</f>
        <v>BERSA</v>
      </c>
      <c r="D59" t="s">
        <v>14</v>
      </c>
      <c r="E59" t="s">
        <v>13</v>
      </c>
      <c r="F59">
        <f>+[1]Condiciones!M65</f>
        <v>60</v>
      </c>
      <c r="G59" t="str">
        <f>+[1]Condiciones!$A$66</f>
        <v>$</v>
      </c>
      <c r="H59">
        <v>0</v>
      </c>
      <c r="I59">
        <f t="shared" si="2"/>
        <v>0</v>
      </c>
      <c r="J59">
        <f t="shared" si="0"/>
        <v>0</v>
      </c>
      <c r="K59" s="2">
        <f t="shared" si="3"/>
        <v>100</v>
      </c>
      <c r="L59" s="2">
        <f t="shared" si="1"/>
        <v>0</v>
      </c>
    </row>
    <row r="60" spans="1:12" x14ac:dyDescent="0.25">
      <c r="A60" t="str">
        <f>+[1]Condiciones!$B$66</f>
        <v>No Distingue</v>
      </c>
      <c r="B60" s="1">
        <v>100</v>
      </c>
      <c r="C60" t="str">
        <f>+[1]Condiciones!$C$66</f>
        <v>BERSA</v>
      </c>
      <c r="D60" t="s">
        <v>14</v>
      </c>
      <c r="E60" t="s">
        <v>13</v>
      </c>
      <c r="F60">
        <f>+[1]Condiciones!N65</f>
        <v>90</v>
      </c>
      <c r="G60" t="str">
        <f>+[1]Condiciones!$A$66</f>
        <v>$</v>
      </c>
      <c r="H60">
        <v>0</v>
      </c>
      <c r="I60">
        <f t="shared" si="2"/>
        <v>0</v>
      </c>
      <c r="J60">
        <f t="shared" si="0"/>
        <v>0</v>
      </c>
      <c r="K60" s="2">
        <f t="shared" si="3"/>
        <v>100</v>
      </c>
      <c r="L60" s="2">
        <f t="shared" si="1"/>
        <v>0</v>
      </c>
    </row>
    <row r="61" spans="1:12" x14ac:dyDescent="0.25">
      <c r="A61" t="str">
        <f>+[1]Condiciones!$B$66</f>
        <v>No Distingue</v>
      </c>
      <c r="B61" s="1">
        <v>100</v>
      </c>
      <c r="C61" t="str">
        <f>+[1]Condiciones!$C$66</f>
        <v>BERSA</v>
      </c>
      <c r="D61" t="s">
        <v>14</v>
      </c>
      <c r="E61" t="s">
        <v>13</v>
      </c>
      <c r="F61">
        <f>+[1]Condiciones!O65</f>
        <v>120</v>
      </c>
      <c r="G61" t="str">
        <f>+[1]Condiciones!$A$66</f>
        <v>$</v>
      </c>
      <c r="H61">
        <v>0</v>
      </c>
      <c r="I61">
        <f t="shared" si="2"/>
        <v>0</v>
      </c>
      <c r="J61">
        <f t="shared" si="0"/>
        <v>0</v>
      </c>
      <c r="K61" s="2">
        <f t="shared" si="3"/>
        <v>100</v>
      </c>
      <c r="L61" s="2">
        <f t="shared" si="1"/>
        <v>0</v>
      </c>
    </row>
    <row r="62" spans="1:12" x14ac:dyDescent="0.25">
      <c r="A62" t="str">
        <f>+[1]Condiciones!$B$68</f>
        <v>No Distingue</v>
      </c>
      <c r="B62" s="1">
        <v>100</v>
      </c>
      <c r="C62" t="str">
        <f>+[1]Condiciones!$C$68</f>
        <v>BANCOR</v>
      </c>
      <c r="D62" t="s">
        <v>14</v>
      </c>
      <c r="E62" t="s">
        <v>13</v>
      </c>
      <c r="F62">
        <f>+[1]Condiciones!$M$65</f>
        <v>60</v>
      </c>
      <c r="G62" t="str">
        <f>+[1]Condiciones!$A$68</f>
        <v>$</v>
      </c>
      <c r="H62">
        <v>0</v>
      </c>
      <c r="I62">
        <f t="shared" si="2"/>
        <v>0</v>
      </c>
      <c r="J62">
        <f t="shared" si="0"/>
        <v>0</v>
      </c>
      <c r="K62" s="2">
        <f t="shared" si="3"/>
        <v>100</v>
      </c>
      <c r="L62" s="2">
        <f t="shared" si="1"/>
        <v>0</v>
      </c>
    </row>
    <row r="63" spans="1:12" x14ac:dyDescent="0.25">
      <c r="A63" t="str">
        <f>+[1]Condiciones!$B$68</f>
        <v>No Distingue</v>
      </c>
      <c r="B63" s="1">
        <v>100</v>
      </c>
      <c r="C63" t="str">
        <f>+[1]Condiciones!$C$68</f>
        <v>BANCOR</v>
      </c>
      <c r="D63" t="s">
        <v>14</v>
      </c>
      <c r="E63" t="s">
        <v>13</v>
      </c>
      <c r="F63">
        <f>+[1]Condiciones!$N$65</f>
        <v>90</v>
      </c>
      <c r="G63" t="str">
        <f>+[1]Condiciones!$A$68</f>
        <v>$</v>
      </c>
      <c r="H63">
        <v>0</v>
      </c>
      <c r="I63">
        <f t="shared" si="2"/>
        <v>0</v>
      </c>
      <c r="J63">
        <f t="shared" si="0"/>
        <v>0</v>
      </c>
      <c r="K63" s="2">
        <f t="shared" si="3"/>
        <v>100</v>
      </c>
      <c r="L63" s="2">
        <f t="shared" si="1"/>
        <v>0</v>
      </c>
    </row>
    <row r="64" spans="1:12" x14ac:dyDescent="0.25">
      <c r="A64" t="str">
        <f>+[1]Condiciones!$B$68</f>
        <v>No Distingue</v>
      </c>
      <c r="B64" s="1">
        <v>100</v>
      </c>
      <c r="C64" t="str">
        <f>+[1]Condiciones!$C$68</f>
        <v>BANCOR</v>
      </c>
      <c r="D64" t="s">
        <v>14</v>
      </c>
      <c r="E64" t="s">
        <v>13</v>
      </c>
      <c r="F64">
        <f>+[1]Condiciones!$O$65</f>
        <v>120</v>
      </c>
      <c r="G64" t="str">
        <f>+[1]Condiciones!$A$68</f>
        <v>$</v>
      </c>
      <c r="H64">
        <v>0</v>
      </c>
      <c r="I64">
        <f t="shared" si="2"/>
        <v>0</v>
      </c>
      <c r="J64">
        <f t="shared" si="0"/>
        <v>0</v>
      </c>
      <c r="K64" s="2">
        <f t="shared" si="3"/>
        <v>100</v>
      </c>
      <c r="L64" s="2">
        <f t="shared" si="1"/>
        <v>0</v>
      </c>
    </row>
    <row r="65" spans="1:12" x14ac:dyDescent="0.25">
      <c r="A65" t="str">
        <f>+[1]Condiciones!$B$68</f>
        <v>No Distingue</v>
      </c>
      <c r="B65" s="1">
        <v>100</v>
      </c>
      <c r="C65" t="str">
        <f>+[1]Condiciones!$C$68</f>
        <v>BANCOR</v>
      </c>
      <c r="D65" t="s">
        <v>14</v>
      </c>
      <c r="E65" t="s">
        <v>13</v>
      </c>
      <c r="F65">
        <f>+[1]Condiciones!$P$65</f>
        <v>150</v>
      </c>
      <c r="G65" t="str">
        <f>+[1]Condiciones!$A$68</f>
        <v>$</v>
      </c>
      <c r="H65">
        <v>0</v>
      </c>
      <c r="I65">
        <f t="shared" si="2"/>
        <v>0</v>
      </c>
      <c r="J65">
        <f t="shared" si="0"/>
        <v>0</v>
      </c>
      <c r="K65" s="2">
        <f t="shared" si="3"/>
        <v>100</v>
      </c>
      <c r="L65" s="2">
        <f t="shared" si="1"/>
        <v>0</v>
      </c>
    </row>
    <row r="66" spans="1:12" x14ac:dyDescent="0.25">
      <c r="A66" t="str">
        <f>+[1]Condiciones!$B$68</f>
        <v>No Distingue</v>
      </c>
      <c r="B66" s="1">
        <v>100</v>
      </c>
      <c r="C66" t="str">
        <f>+[1]Condiciones!$C$68</f>
        <v>BANCOR</v>
      </c>
      <c r="D66" t="s">
        <v>14</v>
      </c>
      <c r="E66" t="s">
        <v>13</v>
      </c>
      <c r="F66">
        <f>+[1]Condiciones!$Q$65</f>
        <v>180</v>
      </c>
      <c r="G66" t="str">
        <f>+[1]Condiciones!$A$68</f>
        <v>$</v>
      </c>
      <c r="H66">
        <v>0</v>
      </c>
      <c r="I66">
        <f t="shared" si="2"/>
        <v>0</v>
      </c>
      <c r="J66">
        <f t="shared" ref="J66:J121" si="4">+IF(E66="Tasa 0%",0,H66/365*F66)*100</f>
        <v>0</v>
      </c>
      <c r="K66" s="2">
        <f t="shared" si="3"/>
        <v>100</v>
      </c>
      <c r="L66" s="2">
        <f t="shared" ref="L66:L121" si="5">+(K66/$B$2-1)/F66*365</f>
        <v>0</v>
      </c>
    </row>
    <row r="67" spans="1:12" x14ac:dyDescent="0.25">
      <c r="A67" t="str">
        <f>+[1]Condiciones!$B$69</f>
        <v>No Distingue</v>
      </c>
      <c r="B67" s="1">
        <v>100</v>
      </c>
      <c r="C67" t="str">
        <f>+[1]Condiciones!$C$69</f>
        <v>CALDÉN</v>
      </c>
      <c r="D67" t="s">
        <v>14</v>
      </c>
      <c r="E67" t="s">
        <v>13</v>
      </c>
      <c r="F67">
        <f>+[1]Condiciones!$M$65</f>
        <v>60</v>
      </c>
      <c r="G67" t="str">
        <f>+[1]Condiciones!$A$69</f>
        <v>$</v>
      </c>
      <c r="H67">
        <v>0</v>
      </c>
      <c r="I67">
        <f t="shared" ref="I67:I121" si="6">+N67*100</f>
        <v>0</v>
      </c>
      <c r="J67">
        <f t="shared" si="4"/>
        <v>0</v>
      </c>
      <c r="K67" s="2">
        <f t="shared" ref="K67:K121" si="7">+$B67*(1+I67/100)*(1+J67/100)</f>
        <v>100</v>
      </c>
      <c r="L67" s="2">
        <f t="shared" si="5"/>
        <v>0</v>
      </c>
    </row>
    <row r="68" spans="1:12" x14ac:dyDescent="0.25">
      <c r="A68" t="str">
        <f>+[1]Condiciones!$B$69</f>
        <v>No Distingue</v>
      </c>
      <c r="B68" s="1">
        <v>100</v>
      </c>
      <c r="C68" t="str">
        <f>+[1]Condiciones!$C$69</f>
        <v>CALDÉN</v>
      </c>
      <c r="D68" t="s">
        <v>14</v>
      </c>
      <c r="E68" t="s">
        <v>13</v>
      </c>
      <c r="F68">
        <f>+[1]Condiciones!$N$65</f>
        <v>90</v>
      </c>
      <c r="G68" t="str">
        <f>+[1]Condiciones!$A$69</f>
        <v>$</v>
      </c>
      <c r="H68">
        <v>0</v>
      </c>
      <c r="I68">
        <f t="shared" si="6"/>
        <v>0</v>
      </c>
      <c r="J68">
        <f t="shared" si="4"/>
        <v>0</v>
      </c>
      <c r="K68" s="2">
        <f t="shared" si="7"/>
        <v>100</v>
      </c>
      <c r="L68" s="2">
        <f t="shared" si="5"/>
        <v>0</v>
      </c>
    </row>
    <row r="69" spans="1:12" x14ac:dyDescent="0.25">
      <c r="A69" t="str">
        <f>+[1]Condiciones!$B$69</f>
        <v>No Distingue</v>
      </c>
      <c r="B69" s="1">
        <v>100</v>
      </c>
      <c r="C69" t="str">
        <f>+[1]Condiciones!$C$69</f>
        <v>CALDÉN</v>
      </c>
      <c r="D69" t="s">
        <v>14</v>
      </c>
      <c r="E69" t="s">
        <v>13</v>
      </c>
      <c r="F69">
        <f>+[1]Condiciones!$O$65</f>
        <v>120</v>
      </c>
      <c r="G69" t="str">
        <f>+[1]Condiciones!$A$69</f>
        <v>$</v>
      </c>
      <c r="H69">
        <v>0</v>
      </c>
      <c r="I69">
        <f t="shared" si="6"/>
        <v>0</v>
      </c>
      <c r="J69">
        <f t="shared" si="4"/>
        <v>0</v>
      </c>
      <c r="K69" s="2">
        <f t="shared" si="7"/>
        <v>100</v>
      </c>
      <c r="L69" s="2">
        <f t="shared" si="5"/>
        <v>0</v>
      </c>
    </row>
    <row r="70" spans="1:12" x14ac:dyDescent="0.25">
      <c r="A70" t="str">
        <f>+[1]Condiciones!$B$69</f>
        <v>No Distingue</v>
      </c>
      <c r="B70" s="1">
        <v>100</v>
      </c>
      <c r="C70" t="str">
        <f>+[1]Condiciones!$C$69</f>
        <v>CALDÉN</v>
      </c>
      <c r="D70" t="s">
        <v>14</v>
      </c>
      <c r="E70" t="s">
        <v>13</v>
      </c>
      <c r="F70">
        <f>+[1]Condiciones!$P$65</f>
        <v>150</v>
      </c>
      <c r="G70" t="str">
        <f>+[1]Condiciones!$A$69</f>
        <v>$</v>
      </c>
      <c r="H70">
        <v>0</v>
      </c>
      <c r="I70">
        <f t="shared" si="6"/>
        <v>0</v>
      </c>
      <c r="J70">
        <f t="shared" si="4"/>
        <v>0</v>
      </c>
      <c r="K70" s="2">
        <f t="shared" si="7"/>
        <v>100</v>
      </c>
      <c r="L70" s="2">
        <f t="shared" si="5"/>
        <v>0</v>
      </c>
    </row>
    <row r="71" spans="1:12" x14ac:dyDescent="0.25">
      <c r="A71" t="str">
        <f>+[1]Condiciones!$B$69</f>
        <v>No Distingue</v>
      </c>
      <c r="B71" s="1">
        <v>100</v>
      </c>
      <c r="C71" t="str">
        <f>+[1]Condiciones!$C$69</f>
        <v>CALDÉN</v>
      </c>
      <c r="D71" t="s">
        <v>14</v>
      </c>
      <c r="E71" t="s">
        <v>13</v>
      </c>
      <c r="F71">
        <f>+[1]Condiciones!$Q$65</f>
        <v>180</v>
      </c>
      <c r="G71" t="str">
        <f>+[1]Condiciones!$A$69</f>
        <v>$</v>
      </c>
      <c r="H71">
        <v>0</v>
      </c>
      <c r="I71">
        <f t="shared" si="6"/>
        <v>0</v>
      </c>
      <c r="J71">
        <f t="shared" si="4"/>
        <v>0</v>
      </c>
      <c r="K71" s="2">
        <f t="shared" si="7"/>
        <v>100</v>
      </c>
      <c r="L71" s="2">
        <f t="shared" si="5"/>
        <v>0</v>
      </c>
    </row>
    <row r="72" spans="1:12" x14ac:dyDescent="0.25">
      <c r="A72" t="str">
        <f>+[1]Condiciones!$B$70</f>
        <v>No Distingue</v>
      </c>
      <c r="B72" s="1">
        <v>100</v>
      </c>
      <c r="C72" t="str">
        <f>+[1]Condiciones!$C$70</f>
        <v>ICBC</v>
      </c>
      <c r="D72" t="s">
        <v>14</v>
      </c>
      <c r="E72" t="s">
        <v>13</v>
      </c>
      <c r="F72">
        <f>+[1]Condiciones!$M$65</f>
        <v>60</v>
      </c>
      <c r="G72" t="str">
        <f>+[1]Condiciones!$A$70</f>
        <v>$</v>
      </c>
      <c r="H72">
        <v>0</v>
      </c>
      <c r="I72">
        <f t="shared" si="6"/>
        <v>0</v>
      </c>
      <c r="J72">
        <f t="shared" si="4"/>
        <v>0</v>
      </c>
      <c r="K72" s="2">
        <f t="shared" si="7"/>
        <v>100</v>
      </c>
      <c r="L72" s="2">
        <f t="shared" si="5"/>
        <v>0</v>
      </c>
    </row>
    <row r="73" spans="1:12" x14ac:dyDescent="0.25">
      <c r="A73" t="str">
        <f>+[1]Condiciones!$B$70</f>
        <v>No Distingue</v>
      </c>
      <c r="B73" s="1">
        <v>100</v>
      </c>
      <c r="C73" t="str">
        <f>+[1]Condiciones!$C$70</f>
        <v>ICBC</v>
      </c>
      <c r="D73" t="s">
        <v>14</v>
      </c>
      <c r="E73" t="s">
        <v>13</v>
      </c>
      <c r="F73">
        <f>+[1]Condiciones!$N$65</f>
        <v>90</v>
      </c>
      <c r="G73" t="str">
        <f>+[1]Condiciones!$A$70</f>
        <v>$</v>
      </c>
      <c r="H73">
        <v>0</v>
      </c>
      <c r="I73">
        <f t="shared" si="6"/>
        <v>0</v>
      </c>
      <c r="J73">
        <f t="shared" si="4"/>
        <v>0</v>
      </c>
      <c r="K73" s="2">
        <f t="shared" si="7"/>
        <v>100</v>
      </c>
      <c r="L73" s="2">
        <f t="shared" si="5"/>
        <v>0</v>
      </c>
    </row>
    <row r="74" spans="1:12" x14ac:dyDescent="0.25">
      <c r="A74" t="str">
        <f>+[1]Condiciones!$B$70</f>
        <v>No Distingue</v>
      </c>
      <c r="B74" s="1">
        <v>100</v>
      </c>
      <c r="C74" t="str">
        <f>+[1]Condiciones!$C$70</f>
        <v>ICBC</v>
      </c>
      <c r="D74" t="s">
        <v>14</v>
      </c>
      <c r="E74" t="s">
        <v>13</v>
      </c>
      <c r="F74">
        <f>+[1]Condiciones!$O$65</f>
        <v>120</v>
      </c>
      <c r="G74" t="str">
        <f>+[1]Condiciones!$A$70</f>
        <v>$</v>
      </c>
      <c r="H74">
        <v>0</v>
      </c>
      <c r="I74">
        <f t="shared" si="6"/>
        <v>0</v>
      </c>
      <c r="J74">
        <f t="shared" si="4"/>
        <v>0</v>
      </c>
      <c r="K74" s="2">
        <f t="shared" si="7"/>
        <v>100</v>
      </c>
      <c r="L74" s="2">
        <f t="shared" si="5"/>
        <v>0</v>
      </c>
    </row>
    <row r="75" spans="1:12" x14ac:dyDescent="0.25">
      <c r="A75" t="str">
        <f>+[1]Condiciones!$B$70</f>
        <v>No Distingue</v>
      </c>
      <c r="B75" s="1">
        <v>100</v>
      </c>
      <c r="C75" t="str">
        <f>+[1]Condiciones!$C$70</f>
        <v>ICBC</v>
      </c>
      <c r="D75" t="s">
        <v>14</v>
      </c>
      <c r="E75" t="s">
        <v>13</v>
      </c>
      <c r="F75">
        <f>+[1]Condiciones!$P$65</f>
        <v>150</v>
      </c>
      <c r="G75" t="str">
        <f>+[1]Condiciones!$A$70</f>
        <v>$</v>
      </c>
      <c r="H75">
        <v>0</v>
      </c>
      <c r="I75">
        <f t="shared" si="6"/>
        <v>0</v>
      </c>
      <c r="J75">
        <f t="shared" si="4"/>
        <v>0</v>
      </c>
      <c r="K75" s="2">
        <f t="shared" si="7"/>
        <v>100</v>
      </c>
      <c r="L75" s="2">
        <f t="shared" si="5"/>
        <v>0</v>
      </c>
    </row>
    <row r="76" spans="1:12" x14ac:dyDescent="0.25">
      <c r="A76" t="str">
        <f>+[1]Condiciones!$B$70</f>
        <v>No Distingue</v>
      </c>
      <c r="B76" s="1">
        <v>100</v>
      </c>
      <c r="C76" t="str">
        <f>+[1]Condiciones!$C$70</f>
        <v>ICBC</v>
      </c>
      <c r="D76" t="s">
        <v>14</v>
      </c>
      <c r="E76" t="s">
        <v>13</v>
      </c>
      <c r="F76">
        <f>+[1]Condiciones!$Q$65</f>
        <v>180</v>
      </c>
      <c r="G76" t="str">
        <f>+[1]Condiciones!$A$70</f>
        <v>$</v>
      </c>
      <c r="H76">
        <v>0</v>
      </c>
      <c r="I76">
        <f t="shared" si="6"/>
        <v>0</v>
      </c>
      <c r="J76">
        <f t="shared" si="4"/>
        <v>0</v>
      </c>
      <c r="K76" s="2">
        <f t="shared" si="7"/>
        <v>100</v>
      </c>
      <c r="L76" s="2">
        <f t="shared" si="5"/>
        <v>0</v>
      </c>
    </row>
    <row r="77" spans="1:12" x14ac:dyDescent="0.25">
      <c r="A77" t="str">
        <f>+[1]Condiciones!$B$71</f>
        <v>No Distingue</v>
      </c>
      <c r="B77" s="1">
        <v>100</v>
      </c>
      <c r="C77" t="str">
        <f>+[1]Condiciones!$C$71</f>
        <v>PATAGONIA</v>
      </c>
      <c r="D77" t="s">
        <v>14</v>
      </c>
      <c r="E77" t="s">
        <v>13</v>
      </c>
      <c r="F77">
        <f>+[1]Condiciones!$M$65</f>
        <v>60</v>
      </c>
      <c r="G77" t="str">
        <f>+[1]Condiciones!$A$71</f>
        <v>$</v>
      </c>
      <c r="H77">
        <v>0</v>
      </c>
      <c r="I77">
        <f t="shared" si="6"/>
        <v>0</v>
      </c>
      <c r="J77">
        <f t="shared" si="4"/>
        <v>0</v>
      </c>
      <c r="K77" s="2">
        <f t="shared" si="7"/>
        <v>100</v>
      </c>
      <c r="L77" s="2">
        <f t="shared" si="5"/>
        <v>0</v>
      </c>
    </row>
    <row r="78" spans="1:12" x14ac:dyDescent="0.25">
      <c r="A78" t="str">
        <f>+[1]Condiciones!$B$71</f>
        <v>No Distingue</v>
      </c>
      <c r="B78" s="1">
        <v>100</v>
      </c>
      <c r="C78" t="str">
        <f>+[1]Condiciones!$C$71</f>
        <v>PATAGONIA</v>
      </c>
      <c r="D78" t="s">
        <v>14</v>
      </c>
      <c r="E78" t="s">
        <v>13</v>
      </c>
      <c r="F78">
        <f>+[1]Condiciones!$N$65</f>
        <v>90</v>
      </c>
      <c r="G78" t="str">
        <f>+[1]Condiciones!$A$71</f>
        <v>$</v>
      </c>
      <c r="H78">
        <v>0</v>
      </c>
      <c r="I78">
        <f t="shared" si="6"/>
        <v>0</v>
      </c>
      <c r="J78">
        <f t="shared" si="4"/>
        <v>0</v>
      </c>
      <c r="K78" s="2">
        <f t="shared" si="7"/>
        <v>100</v>
      </c>
      <c r="L78" s="2">
        <f t="shared" si="5"/>
        <v>0</v>
      </c>
    </row>
    <row r="79" spans="1:12" x14ac:dyDescent="0.25">
      <c r="A79" t="str">
        <f>+[1]Condiciones!$B$71</f>
        <v>No Distingue</v>
      </c>
      <c r="B79" s="1">
        <v>100</v>
      </c>
      <c r="C79" t="str">
        <f>+[1]Condiciones!$C$71</f>
        <v>PATAGONIA</v>
      </c>
      <c r="D79" t="s">
        <v>14</v>
      </c>
      <c r="E79" t="s">
        <v>13</v>
      </c>
      <c r="F79">
        <f>+[1]Condiciones!$O$65</f>
        <v>120</v>
      </c>
      <c r="G79" t="str">
        <f>+[1]Condiciones!$A$71</f>
        <v>$</v>
      </c>
      <c r="H79">
        <v>0</v>
      </c>
      <c r="I79">
        <f t="shared" si="6"/>
        <v>0</v>
      </c>
      <c r="J79">
        <f t="shared" si="4"/>
        <v>0</v>
      </c>
      <c r="K79" s="2">
        <f t="shared" si="7"/>
        <v>100</v>
      </c>
      <c r="L79" s="2">
        <f t="shared" si="5"/>
        <v>0</v>
      </c>
    </row>
    <row r="80" spans="1:12" x14ac:dyDescent="0.25">
      <c r="A80" t="str">
        <f>+[1]Condiciones!$B$71</f>
        <v>No Distingue</v>
      </c>
      <c r="B80" s="1">
        <v>100</v>
      </c>
      <c r="C80" t="str">
        <f>+[1]Condiciones!$C$71</f>
        <v>PATAGONIA</v>
      </c>
      <c r="D80" t="s">
        <v>14</v>
      </c>
      <c r="E80" t="s">
        <v>13</v>
      </c>
      <c r="F80">
        <f>+[1]Condiciones!$P$65</f>
        <v>150</v>
      </c>
      <c r="G80" t="str">
        <f>+[1]Condiciones!$A$71</f>
        <v>$</v>
      </c>
      <c r="H80">
        <v>0</v>
      </c>
      <c r="I80">
        <f t="shared" si="6"/>
        <v>0</v>
      </c>
      <c r="J80">
        <f t="shared" si="4"/>
        <v>0</v>
      </c>
      <c r="K80" s="2">
        <f t="shared" si="7"/>
        <v>100</v>
      </c>
      <c r="L80" s="2">
        <f t="shared" si="5"/>
        <v>0</v>
      </c>
    </row>
    <row r="81" spans="1:12" x14ac:dyDescent="0.25">
      <c r="A81" t="str">
        <f>+[1]Condiciones!$B$71</f>
        <v>No Distingue</v>
      </c>
      <c r="B81" s="1">
        <v>100</v>
      </c>
      <c r="C81" t="str">
        <f>+[1]Condiciones!$C$71</f>
        <v>PATAGONIA</v>
      </c>
      <c r="D81" t="s">
        <v>14</v>
      </c>
      <c r="E81" t="s">
        <v>13</v>
      </c>
      <c r="F81">
        <f>+[1]Condiciones!$Q$65</f>
        <v>180</v>
      </c>
      <c r="G81" t="str">
        <f>+[1]Condiciones!$A$71</f>
        <v>$</v>
      </c>
      <c r="H81">
        <v>0</v>
      </c>
      <c r="I81">
        <f t="shared" si="6"/>
        <v>0</v>
      </c>
      <c r="J81">
        <f t="shared" si="4"/>
        <v>0</v>
      </c>
      <c r="K81" s="2">
        <f t="shared" si="7"/>
        <v>100</v>
      </c>
      <c r="L81" s="2">
        <f t="shared" si="5"/>
        <v>0</v>
      </c>
    </row>
    <row r="82" spans="1:12" x14ac:dyDescent="0.25">
      <c r="A82" t="str">
        <f>+[1]Condiciones!$B$72</f>
        <v>No Distingue</v>
      </c>
      <c r="B82" s="1">
        <v>100</v>
      </c>
      <c r="C82" t="str">
        <f>+[1]Condiciones!$C$72</f>
        <v>PROCAMPO</v>
      </c>
      <c r="D82" t="s">
        <v>14</v>
      </c>
      <c r="E82" t="s">
        <v>13</v>
      </c>
      <c r="F82">
        <f>+[1]Condiciones!$M$65</f>
        <v>60</v>
      </c>
      <c r="G82" t="str">
        <f>+[1]Condiciones!$A$72</f>
        <v>$</v>
      </c>
      <c r="H82">
        <v>0</v>
      </c>
      <c r="I82">
        <f t="shared" si="6"/>
        <v>0</v>
      </c>
      <c r="J82">
        <f t="shared" si="4"/>
        <v>0</v>
      </c>
      <c r="K82" s="2">
        <f t="shared" si="7"/>
        <v>100</v>
      </c>
      <c r="L82" s="2">
        <f t="shared" si="5"/>
        <v>0</v>
      </c>
    </row>
    <row r="83" spans="1:12" x14ac:dyDescent="0.25">
      <c r="A83" t="str">
        <f>+[1]Condiciones!$B$72</f>
        <v>No Distingue</v>
      </c>
      <c r="B83" s="1">
        <v>100</v>
      </c>
      <c r="C83" t="str">
        <f>+[1]Condiciones!$C$72</f>
        <v>PROCAMPO</v>
      </c>
      <c r="D83" t="s">
        <v>14</v>
      </c>
      <c r="E83" t="s">
        <v>13</v>
      </c>
      <c r="F83">
        <f>+[1]Condiciones!$N$65</f>
        <v>90</v>
      </c>
      <c r="G83" t="str">
        <f>+[1]Condiciones!$A$72</f>
        <v>$</v>
      </c>
      <c r="H83">
        <v>0</v>
      </c>
      <c r="I83">
        <f t="shared" si="6"/>
        <v>0</v>
      </c>
      <c r="J83">
        <f t="shared" si="4"/>
        <v>0</v>
      </c>
      <c r="K83" s="2">
        <f t="shared" si="7"/>
        <v>100</v>
      </c>
      <c r="L83" s="2">
        <f t="shared" si="5"/>
        <v>0</v>
      </c>
    </row>
    <row r="84" spans="1:12" x14ac:dyDescent="0.25">
      <c r="A84" t="str">
        <f>+[1]Condiciones!$B$72</f>
        <v>No Distingue</v>
      </c>
      <c r="B84" s="1">
        <v>100</v>
      </c>
      <c r="C84" t="str">
        <f>+[1]Condiciones!$C$72</f>
        <v>PROCAMPO</v>
      </c>
      <c r="D84" t="s">
        <v>14</v>
      </c>
      <c r="E84" t="s">
        <v>13</v>
      </c>
      <c r="F84">
        <f>+[1]Condiciones!$O$65</f>
        <v>120</v>
      </c>
      <c r="G84" t="str">
        <f>+[1]Condiciones!$A$72</f>
        <v>$</v>
      </c>
      <c r="H84">
        <v>0</v>
      </c>
      <c r="I84">
        <f t="shared" si="6"/>
        <v>0</v>
      </c>
      <c r="J84">
        <f t="shared" si="4"/>
        <v>0</v>
      </c>
      <c r="K84" s="2">
        <f t="shared" si="7"/>
        <v>100</v>
      </c>
      <c r="L84" s="2">
        <f t="shared" si="5"/>
        <v>0</v>
      </c>
    </row>
    <row r="85" spans="1:12" x14ac:dyDescent="0.25">
      <c r="A85" t="str">
        <f>+[1]Condiciones!$B$72</f>
        <v>No Distingue</v>
      </c>
      <c r="B85" s="1">
        <v>100</v>
      </c>
      <c r="C85" t="str">
        <f>+[1]Condiciones!$C$72</f>
        <v>PROCAMPO</v>
      </c>
      <c r="D85" t="s">
        <v>14</v>
      </c>
      <c r="E85" t="s">
        <v>13</v>
      </c>
      <c r="F85">
        <f>+[1]Condiciones!$P$65</f>
        <v>150</v>
      </c>
      <c r="G85" t="str">
        <f>+[1]Condiciones!$A$72</f>
        <v>$</v>
      </c>
      <c r="H85">
        <v>0</v>
      </c>
      <c r="I85">
        <f t="shared" si="6"/>
        <v>0</v>
      </c>
      <c r="J85">
        <f t="shared" si="4"/>
        <v>0</v>
      </c>
      <c r="K85" s="2">
        <f t="shared" si="7"/>
        <v>100</v>
      </c>
      <c r="L85" s="2">
        <f t="shared" si="5"/>
        <v>0</v>
      </c>
    </row>
    <row r="86" spans="1:12" x14ac:dyDescent="0.25">
      <c r="A86" t="str">
        <f>+[1]Condiciones!$B$72</f>
        <v>No Distingue</v>
      </c>
      <c r="B86" s="1">
        <v>100</v>
      </c>
      <c r="C86" t="str">
        <f>+[1]Condiciones!$C$72</f>
        <v>PROCAMPO</v>
      </c>
      <c r="D86" t="s">
        <v>14</v>
      </c>
      <c r="E86" t="s">
        <v>13</v>
      </c>
      <c r="F86">
        <f>+[1]Condiciones!$Q$65</f>
        <v>180</v>
      </c>
      <c r="G86" t="str">
        <f>+[1]Condiciones!$A$72</f>
        <v>$</v>
      </c>
      <c r="H86">
        <v>0</v>
      </c>
      <c r="I86">
        <f t="shared" si="6"/>
        <v>0</v>
      </c>
      <c r="J86">
        <f t="shared" si="4"/>
        <v>0</v>
      </c>
      <c r="K86" s="2">
        <f t="shared" si="7"/>
        <v>100</v>
      </c>
      <c r="L86" s="2">
        <f t="shared" si="5"/>
        <v>0</v>
      </c>
    </row>
    <row r="87" spans="1:12" x14ac:dyDescent="0.25">
      <c r="A87" t="str">
        <f>+[1]Condiciones!$B$77</f>
        <v>No Distingue</v>
      </c>
      <c r="B87" s="1">
        <v>100</v>
      </c>
      <c r="C87" t="str">
        <f>+[1]Condiciones!$C$77</f>
        <v>BBVA</v>
      </c>
      <c r="D87" t="s">
        <v>14</v>
      </c>
      <c r="E87" t="s">
        <v>13</v>
      </c>
      <c r="F87">
        <f>+[1]Condiciones!$M$65</f>
        <v>60</v>
      </c>
      <c r="G87" t="str">
        <f>+[1]Condiciones!$A$77</f>
        <v>$</v>
      </c>
      <c r="H87">
        <v>0</v>
      </c>
      <c r="I87">
        <f t="shared" si="6"/>
        <v>0</v>
      </c>
      <c r="J87">
        <f t="shared" si="4"/>
        <v>0</v>
      </c>
      <c r="K87" s="2">
        <f t="shared" si="7"/>
        <v>100</v>
      </c>
      <c r="L87" s="2">
        <f t="shared" si="5"/>
        <v>0</v>
      </c>
    </row>
    <row r="88" spans="1:12" x14ac:dyDescent="0.25">
      <c r="A88" t="str">
        <f>+[1]Condiciones!$B$77</f>
        <v>No Distingue</v>
      </c>
      <c r="B88" s="1">
        <v>100</v>
      </c>
      <c r="C88" t="str">
        <f>+[1]Condiciones!$C$77</f>
        <v>BBVA</v>
      </c>
      <c r="D88" t="s">
        <v>14</v>
      </c>
      <c r="E88" t="s">
        <v>13</v>
      </c>
      <c r="F88">
        <f>+[1]Condiciones!$N$65</f>
        <v>90</v>
      </c>
      <c r="G88" t="str">
        <f>+[1]Condiciones!$A$77</f>
        <v>$</v>
      </c>
      <c r="H88">
        <v>0</v>
      </c>
      <c r="I88">
        <f t="shared" si="6"/>
        <v>0</v>
      </c>
      <c r="J88">
        <f t="shared" si="4"/>
        <v>0</v>
      </c>
      <c r="K88" s="2">
        <f t="shared" si="7"/>
        <v>100</v>
      </c>
      <c r="L88" s="2">
        <f t="shared" si="5"/>
        <v>0</v>
      </c>
    </row>
    <row r="89" spans="1:12" x14ac:dyDescent="0.25">
      <c r="A89" t="str">
        <f>+[1]Condiciones!$B$77</f>
        <v>No Distingue</v>
      </c>
      <c r="B89" s="1">
        <v>100</v>
      </c>
      <c r="C89" t="str">
        <f>+[1]Condiciones!$C$77</f>
        <v>BBVA</v>
      </c>
      <c r="D89" t="s">
        <v>14</v>
      </c>
      <c r="E89" t="s">
        <v>13</v>
      </c>
      <c r="F89">
        <f>+[1]Condiciones!$O$65</f>
        <v>120</v>
      </c>
      <c r="G89" t="str">
        <f>+[1]Condiciones!$A$77</f>
        <v>$</v>
      </c>
      <c r="H89">
        <v>0</v>
      </c>
      <c r="I89">
        <f t="shared" si="6"/>
        <v>0</v>
      </c>
      <c r="J89">
        <f t="shared" si="4"/>
        <v>0</v>
      </c>
      <c r="K89" s="2">
        <f t="shared" si="7"/>
        <v>100</v>
      </c>
      <c r="L89" s="2">
        <f t="shared" si="5"/>
        <v>0</v>
      </c>
    </row>
    <row r="90" spans="1:12" x14ac:dyDescent="0.25">
      <c r="A90" t="str">
        <f>+[1]Condiciones!$B$77</f>
        <v>No Distingue</v>
      </c>
      <c r="B90" s="1">
        <v>100</v>
      </c>
      <c r="C90" t="str">
        <f>+[1]Condiciones!$C$77</f>
        <v>BBVA</v>
      </c>
      <c r="D90" t="s">
        <v>14</v>
      </c>
      <c r="E90" t="s">
        <v>13</v>
      </c>
      <c r="F90">
        <f>+[1]Condiciones!$P$65</f>
        <v>150</v>
      </c>
      <c r="G90" t="str">
        <f>+[1]Condiciones!$A$77</f>
        <v>$</v>
      </c>
      <c r="H90">
        <v>0</v>
      </c>
      <c r="I90">
        <f t="shared" si="6"/>
        <v>0</v>
      </c>
      <c r="J90">
        <f t="shared" si="4"/>
        <v>0</v>
      </c>
      <c r="K90" s="2">
        <f t="shared" si="7"/>
        <v>100</v>
      </c>
      <c r="L90" s="2">
        <f t="shared" si="5"/>
        <v>0</v>
      </c>
    </row>
    <row r="91" spans="1:12" x14ac:dyDescent="0.25">
      <c r="A91" t="str">
        <f>+[1]Condiciones!$B$77</f>
        <v>No Distingue</v>
      </c>
      <c r="B91" s="1">
        <v>100</v>
      </c>
      <c r="C91" t="str">
        <f>+[1]Condiciones!$C$77</f>
        <v>BBVA</v>
      </c>
      <c r="D91" t="s">
        <v>14</v>
      </c>
      <c r="E91" t="s">
        <v>13</v>
      </c>
      <c r="F91">
        <f>+[1]Condiciones!$Q$65</f>
        <v>180</v>
      </c>
      <c r="G91" t="str">
        <f>+[1]Condiciones!$A$77</f>
        <v>$</v>
      </c>
      <c r="H91">
        <v>0</v>
      </c>
      <c r="I91">
        <f t="shared" si="6"/>
        <v>0</v>
      </c>
      <c r="J91">
        <f t="shared" si="4"/>
        <v>0</v>
      </c>
      <c r="K91" s="2">
        <f t="shared" si="7"/>
        <v>100</v>
      </c>
      <c r="L91" s="2">
        <f t="shared" si="5"/>
        <v>0</v>
      </c>
    </row>
    <row r="92" spans="1:12" x14ac:dyDescent="0.25">
      <c r="A92" t="str">
        <f>+[1]Condiciones!$B$78</f>
        <v>No Distingue</v>
      </c>
      <c r="B92" s="1">
        <v>100</v>
      </c>
      <c r="C92" t="str">
        <f>+[1]Condiciones!$C$78</f>
        <v>GALICIA</v>
      </c>
      <c r="D92" t="s">
        <v>14</v>
      </c>
      <c r="E92" t="s">
        <v>13</v>
      </c>
      <c r="F92">
        <f>+[1]Condiciones!$M$65</f>
        <v>60</v>
      </c>
      <c r="G92" t="str">
        <f>+[1]Condiciones!$A$78</f>
        <v>$</v>
      </c>
      <c r="H92">
        <v>0</v>
      </c>
      <c r="I92">
        <f t="shared" si="6"/>
        <v>0</v>
      </c>
      <c r="J92">
        <f t="shared" si="4"/>
        <v>0</v>
      </c>
      <c r="K92" s="2">
        <f t="shared" si="7"/>
        <v>100</v>
      </c>
      <c r="L92" s="2">
        <f t="shared" si="5"/>
        <v>0</v>
      </c>
    </row>
    <row r="93" spans="1:12" x14ac:dyDescent="0.25">
      <c r="A93" t="str">
        <f>+[1]Condiciones!$B$78</f>
        <v>No Distingue</v>
      </c>
      <c r="B93" s="1">
        <v>100</v>
      </c>
      <c r="C93" t="str">
        <f>+[1]Condiciones!$C$78</f>
        <v>GALICIA</v>
      </c>
      <c r="D93" t="s">
        <v>14</v>
      </c>
      <c r="E93" t="s">
        <v>13</v>
      </c>
      <c r="F93">
        <f>+[1]Condiciones!$N$65</f>
        <v>90</v>
      </c>
      <c r="G93" t="str">
        <f>+[1]Condiciones!$A$78</f>
        <v>$</v>
      </c>
      <c r="H93">
        <v>0</v>
      </c>
      <c r="I93">
        <f t="shared" si="6"/>
        <v>0</v>
      </c>
      <c r="J93">
        <f t="shared" si="4"/>
        <v>0</v>
      </c>
      <c r="K93" s="2">
        <f t="shared" si="7"/>
        <v>100</v>
      </c>
      <c r="L93" s="2">
        <f t="shared" si="5"/>
        <v>0</v>
      </c>
    </row>
    <row r="94" spans="1:12" x14ac:dyDescent="0.25">
      <c r="A94" t="str">
        <f>+[1]Condiciones!$B$78</f>
        <v>No Distingue</v>
      </c>
      <c r="B94" s="1">
        <v>100</v>
      </c>
      <c r="C94" t="str">
        <f>+[1]Condiciones!$C$78</f>
        <v>GALICIA</v>
      </c>
      <c r="D94" t="s">
        <v>14</v>
      </c>
      <c r="E94" t="s">
        <v>13</v>
      </c>
      <c r="F94">
        <f>+[1]Condiciones!$O$65</f>
        <v>120</v>
      </c>
      <c r="G94" t="str">
        <f>+[1]Condiciones!$A$78</f>
        <v>$</v>
      </c>
      <c r="H94">
        <v>0</v>
      </c>
      <c r="I94">
        <f t="shared" si="6"/>
        <v>0</v>
      </c>
      <c r="J94">
        <f t="shared" si="4"/>
        <v>0</v>
      </c>
      <c r="K94" s="2">
        <f t="shared" si="7"/>
        <v>100</v>
      </c>
      <c r="L94" s="2">
        <f t="shared" si="5"/>
        <v>0</v>
      </c>
    </row>
    <row r="95" spans="1:12" x14ac:dyDescent="0.25">
      <c r="A95" t="str">
        <f>+[1]Condiciones!$B$78</f>
        <v>No Distingue</v>
      </c>
      <c r="B95" s="1">
        <v>100</v>
      </c>
      <c r="C95" t="str">
        <f>+[1]Condiciones!$C$78</f>
        <v>GALICIA</v>
      </c>
      <c r="D95" t="s">
        <v>14</v>
      </c>
      <c r="E95" t="s">
        <v>13</v>
      </c>
      <c r="F95">
        <f>+[1]Condiciones!$P$65</f>
        <v>150</v>
      </c>
      <c r="G95" t="str">
        <f>+[1]Condiciones!$A$78</f>
        <v>$</v>
      </c>
      <c r="H95">
        <v>0</v>
      </c>
      <c r="I95">
        <f t="shared" si="6"/>
        <v>0</v>
      </c>
      <c r="J95">
        <f t="shared" si="4"/>
        <v>0</v>
      </c>
      <c r="K95" s="2">
        <f t="shared" si="7"/>
        <v>100</v>
      </c>
      <c r="L95" s="2">
        <f t="shared" si="5"/>
        <v>0</v>
      </c>
    </row>
    <row r="96" spans="1:12" x14ac:dyDescent="0.25">
      <c r="A96" t="str">
        <f>+[1]Condiciones!$B$78</f>
        <v>No Distingue</v>
      </c>
      <c r="B96" s="1">
        <v>100</v>
      </c>
      <c r="C96" t="str">
        <f>+[1]Condiciones!$C$78</f>
        <v>GALICIA</v>
      </c>
      <c r="D96" t="s">
        <v>14</v>
      </c>
      <c r="E96" t="s">
        <v>13</v>
      </c>
      <c r="F96">
        <f>+[1]Condiciones!$Q$65</f>
        <v>180</v>
      </c>
      <c r="G96" t="str">
        <f>+[1]Condiciones!$A$78</f>
        <v>$</v>
      </c>
      <c r="H96">
        <v>0</v>
      </c>
      <c r="I96">
        <f t="shared" si="6"/>
        <v>0</v>
      </c>
      <c r="J96">
        <f t="shared" si="4"/>
        <v>0</v>
      </c>
      <c r="K96" s="2">
        <f t="shared" si="7"/>
        <v>100</v>
      </c>
      <c r="L96" s="2">
        <f t="shared" si="5"/>
        <v>0</v>
      </c>
    </row>
    <row r="97" spans="1:12" x14ac:dyDescent="0.25">
      <c r="A97" t="str">
        <f>+[1]Condiciones!$B$79</f>
        <v>No Distingue</v>
      </c>
      <c r="B97" s="1">
        <v>100</v>
      </c>
      <c r="C97" t="str">
        <f>+[1]Condiciones!$C$79</f>
        <v>HSBC</v>
      </c>
      <c r="D97" t="s">
        <v>14</v>
      </c>
      <c r="E97" t="s">
        <v>13</v>
      </c>
      <c r="F97">
        <f>+[1]Condiciones!$M$65</f>
        <v>60</v>
      </c>
      <c r="G97" t="str">
        <f>+[1]Condiciones!$A$79</f>
        <v>$</v>
      </c>
      <c r="H97">
        <v>0</v>
      </c>
      <c r="I97">
        <f t="shared" si="6"/>
        <v>0</v>
      </c>
      <c r="J97">
        <f t="shared" si="4"/>
        <v>0</v>
      </c>
      <c r="K97" s="2">
        <f t="shared" si="7"/>
        <v>100</v>
      </c>
      <c r="L97" s="2">
        <f t="shared" si="5"/>
        <v>0</v>
      </c>
    </row>
    <row r="98" spans="1:12" x14ac:dyDescent="0.25">
      <c r="A98" t="str">
        <f>+[1]Condiciones!$B$79</f>
        <v>No Distingue</v>
      </c>
      <c r="B98" s="1">
        <v>100</v>
      </c>
      <c r="C98" t="str">
        <f>+[1]Condiciones!$C$79</f>
        <v>HSBC</v>
      </c>
      <c r="D98" t="s">
        <v>14</v>
      </c>
      <c r="E98" t="s">
        <v>13</v>
      </c>
      <c r="F98">
        <f>+[1]Condiciones!$N$65</f>
        <v>90</v>
      </c>
      <c r="G98" t="str">
        <f>+[1]Condiciones!$A$79</f>
        <v>$</v>
      </c>
      <c r="H98">
        <v>0</v>
      </c>
      <c r="I98">
        <f t="shared" si="6"/>
        <v>0</v>
      </c>
      <c r="J98">
        <f t="shared" si="4"/>
        <v>0</v>
      </c>
      <c r="K98" s="2">
        <f t="shared" si="7"/>
        <v>100</v>
      </c>
      <c r="L98" s="2">
        <f t="shared" si="5"/>
        <v>0</v>
      </c>
    </row>
    <row r="99" spans="1:12" x14ac:dyDescent="0.25">
      <c r="A99" t="str">
        <f>+[1]Condiciones!$B$79</f>
        <v>No Distingue</v>
      </c>
      <c r="B99" s="1">
        <v>100</v>
      </c>
      <c r="C99" t="str">
        <f>+[1]Condiciones!$C$79</f>
        <v>HSBC</v>
      </c>
      <c r="D99" t="s">
        <v>14</v>
      </c>
      <c r="E99" t="s">
        <v>13</v>
      </c>
      <c r="F99">
        <f>+[1]Condiciones!$O$65</f>
        <v>120</v>
      </c>
      <c r="G99" t="str">
        <f>+[1]Condiciones!$A$79</f>
        <v>$</v>
      </c>
      <c r="H99">
        <v>0</v>
      </c>
      <c r="I99">
        <f t="shared" si="6"/>
        <v>0</v>
      </c>
      <c r="J99">
        <f t="shared" si="4"/>
        <v>0</v>
      </c>
      <c r="K99" s="2">
        <f t="shared" si="7"/>
        <v>100</v>
      </c>
      <c r="L99" s="2">
        <f t="shared" si="5"/>
        <v>0</v>
      </c>
    </row>
    <row r="100" spans="1:12" x14ac:dyDescent="0.25">
      <c r="A100" t="str">
        <f>+[1]Condiciones!$B$79</f>
        <v>No Distingue</v>
      </c>
      <c r="B100" s="1">
        <v>100</v>
      </c>
      <c r="C100" t="str">
        <f>+[1]Condiciones!$C$79</f>
        <v>HSBC</v>
      </c>
      <c r="D100" t="s">
        <v>14</v>
      </c>
      <c r="E100" t="s">
        <v>13</v>
      </c>
      <c r="F100">
        <f>+[1]Condiciones!$P$65</f>
        <v>150</v>
      </c>
      <c r="G100" t="str">
        <f>+[1]Condiciones!$A$79</f>
        <v>$</v>
      </c>
      <c r="H100">
        <v>0</v>
      </c>
      <c r="I100">
        <f t="shared" si="6"/>
        <v>0</v>
      </c>
      <c r="J100">
        <f t="shared" si="4"/>
        <v>0</v>
      </c>
      <c r="K100" s="2">
        <f t="shared" si="7"/>
        <v>100</v>
      </c>
      <c r="L100" s="2">
        <f t="shared" si="5"/>
        <v>0</v>
      </c>
    </row>
    <row r="101" spans="1:12" x14ac:dyDescent="0.25">
      <c r="A101" t="str">
        <f>+[1]Condiciones!$B$79</f>
        <v>No Distingue</v>
      </c>
      <c r="B101" s="1">
        <v>100</v>
      </c>
      <c r="C101" t="str">
        <f>+[1]Condiciones!$C$79</f>
        <v>HSBC</v>
      </c>
      <c r="D101" t="s">
        <v>14</v>
      </c>
      <c r="E101" t="s">
        <v>13</v>
      </c>
      <c r="F101">
        <f>+[1]Condiciones!$Q$65</f>
        <v>180</v>
      </c>
      <c r="G101" t="str">
        <f>+[1]Condiciones!$A$79</f>
        <v>$</v>
      </c>
      <c r="H101">
        <v>0</v>
      </c>
      <c r="I101">
        <f t="shared" si="6"/>
        <v>0</v>
      </c>
      <c r="J101">
        <f t="shared" si="4"/>
        <v>0</v>
      </c>
      <c r="K101" s="2">
        <f t="shared" si="7"/>
        <v>100</v>
      </c>
      <c r="L101" s="2">
        <f t="shared" si="5"/>
        <v>0</v>
      </c>
    </row>
    <row r="102" spans="1:12" x14ac:dyDescent="0.25">
      <c r="A102" t="str">
        <f>+[1]Condiciones!$B$69</f>
        <v>No Distingue</v>
      </c>
      <c r="B102" s="1">
        <v>100</v>
      </c>
      <c r="C102" t="str">
        <f>+[1]Condiciones!$C$69</f>
        <v>CALDÉN</v>
      </c>
      <c r="D102" t="s">
        <v>14</v>
      </c>
      <c r="E102" t="s">
        <v>15</v>
      </c>
      <c r="F102">
        <f>+[1]Condiciones!$T$65</f>
        <v>60</v>
      </c>
      <c r="G102" t="str">
        <f>+[1]Condiciones!$A$69</f>
        <v>$</v>
      </c>
      <c r="H102">
        <f>+[1]Condiciones!AB67</f>
        <v>0.37047499999999972</v>
      </c>
      <c r="I102">
        <f t="shared" si="6"/>
        <v>0</v>
      </c>
      <c r="J102">
        <f t="shared" si="4"/>
        <v>6.0899999999999954</v>
      </c>
      <c r="K102" s="2">
        <f t="shared" si="7"/>
        <v>106.08999999999999</v>
      </c>
      <c r="L102" s="2">
        <f t="shared" si="5"/>
        <v>0.37047499999999972</v>
      </c>
    </row>
    <row r="103" spans="1:12" x14ac:dyDescent="0.25">
      <c r="A103" t="str">
        <f>+[1]Condiciones!$B$69</f>
        <v>No Distingue</v>
      </c>
      <c r="B103" s="1">
        <v>100</v>
      </c>
      <c r="C103" t="str">
        <f>+[1]Condiciones!$C$69</f>
        <v>CALDÉN</v>
      </c>
      <c r="D103" t="s">
        <v>14</v>
      </c>
      <c r="E103" t="s">
        <v>15</v>
      </c>
      <c r="F103">
        <f>+[1]Condiciones!$U$65</f>
        <v>90</v>
      </c>
      <c r="G103" t="str">
        <f>+[1]Condiciones!$A$69</f>
        <v>$</v>
      </c>
      <c r="H103">
        <f>+[1]Condiciones!AC67</f>
        <v>0.37605950000000005</v>
      </c>
      <c r="I103">
        <f t="shared" si="6"/>
        <v>0</v>
      </c>
      <c r="J103">
        <f t="shared" si="4"/>
        <v>9.2727000000000004</v>
      </c>
      <c r="K103" s="2">
        <f t="shared" si="7"/>
        <v>109.2727</v>
      </c>
      <c r="L103" s="2">
        <f t="shared" si="5"/>
        <v>0.37605950000000005</v>
      </c>
    </row>
    <row r="104" spans="1:12" x14ac:dyDescent="0.25">
      <c r="A104" t="str">
        <f>+[1]Condiciones!$B$69</f>
        <v>No Distingue</v>
      </c>
      <c r="B104" s="1">
        <v>100</v>
      </c>
      <c r="C104" t="str">
        <f>+[1]Condiciones!$C$69</f>
        <v>CALDÉN</v>
      </c>
      <c r="D104" t="s">
        <v>14</v>
      </c>
      <c r="E104" t="s">
        <v>15</v>
      </c>
      <c r="F104">
        <f>+[1]Condiciones!$V$65</f>
        <v>180</v>
      </c>
      <c r="G104" t="str">
        <f>+[1]Condiciones!$A$69</f>
        <v>$</v>
      </c>
      <c r="H104">
        <f>+[1]Condiciones!AD67</f>
        <v>0.3934949346282498</v>
      </c>
      <c r="I104">
        <f t="shared" si="6"/>
        <v>0</v>
      </c>
      <c r="J104">
        <f t="shared" si="4"/>
        <v>19.40522965289999</v>
      </c>
      <c r="K104" s="2">
        <f t="shared" si="7"/>
        <v>119.40522965289999</v>
      </c>
      <c r="L104" s="2">
        <f t="shared" si="5"/>
        <v>0.3934949346282498</v>
      </c>
    </row>
    <row r="105" spans="1:12" x14ac:dyDescent="0.25">
      <c r="A105" t="str">
        <f>+[1]Condiciones!$B$69</f>
        <v>No Distingue</v>
      </c>
      <c r="B105" s="1">
        <v>100</v>
      </c>
      <c r="C105" t="str">
        <f>+[1]Condiciones!$C$69</f>
        <v>CALDÉN</v>
      </c>
      <c r="D105" t="s">
        <v>14</v>
      </c>
      <c r="E105" t="s">
        <v>15</v>
      </c>
      <c r="F105">
        <f>+[1]Condiciones!$W$65</f>
        <v>270</v>
      </c>
      <c r="G105" t="str">
        <f>+[1]Condiciones!$A$69</f>
        <v>$</v>
      </c>
      <c r="H105">
        <f>+[1]Condiciones!AE67</f>
        <v>0.47727539616300035</v>
      </c>
      <c r="I105">
        <f t="shared" si="6"/>
        <v>0</v>
      </c>
      <c r="J105">
        <f t="shared" si="4"/>
        <v>35.305303277810985</v>
      </c>
      <c r="K105" s="2">
        <f t="shared" si="7"/>
        <v>135.30530327781099</v>
      </c>
      <c r="L105" s="2">
        <f t="shared" si="5"/>
        <v>0.47727539616300035</v>
      </c>
    </row>
    <row r="106" spans="1:12" x14ac:dyDescent="0.25">
      <c r="A106" t="str">
        <f>+[1]Condiciones!$B$69</f>
        <v>No Distingue</v>
      </c>
      <c r="B106" s="1">
        <v>100</v>
      </c>
      <c r="C106" t="str">
        <f>+[1]Condiciones!$C$69</f>
        <v>CALDÉN</v>
      </c>
      <c r="D106" t="s">
        <v>14</v>
      </c>
      <c r="E106" t="s">
        <v>15</v>
      </c>
      <c r="F106">
        <f>+[1]Condiciones!$X$65</f>
        <v>360</v>
      </c>
      <c r="G106" t="str">
        <f>+[1]Condiciones!$A$69</f>
        <v>$</v>
      </c>
      <c r="H106">
        <f>+[1]Condiciones!AF67</f>
        <v>0.50342973718368167</v>
      </c>
      <c r="I106">
        <f t="shared" si="6"/>
        <v>0</v>
      </c>
      <c r="J106">
        <f t="shared" si="4"/>
        <v>49.653343941404223</v>
      </c>
      <c r="K106" s="2">
        <f t="shared" si="7"/>
        <v>149.65334394140422</v>
      </c>
      <c r="L106" s="2">
        <f t="shared" si="5"/>
        <v>0.50342973718368167</v>
      </c>
    </row>
    <row r="107" spans="1:12" x14ac:dyDescent="0.25">
      <c r="A107" t="str">
        <f>+[1]Condiciones!$B$72</f>
        <v>No Distingue</v>
      </c>
      <c r="B107" s="1">
        <v>100</v>
      </c>
      <c r="C107" t="str">
        <f>+[1]Condiciones!$C$72</f>
        <v>PROCAMPO</v>
      </c>
      <c r="D107" t="s">
        <v>14</v>
      </c>
      <c r="E107" t="s">
        <v>15</v>
      </c>
      <c r="F107">
        <f>+[1]Condiciones!$T$65</f>
        <v>60</v>
      </c>
      <c r="G107" t="str">
        <f>+[1]Condiciones!$A$72</f>
        <v>$</v>
      </c>
      <c r="H107">
        <f>+[1]Condiciones!$Y$68</f>
        <v>0.38</v>
      </c>
      <c r="I107">
        <f t="shared" si="6"/>
        <v>0</v>
      </c>
      <c r="J107">
        <f t="shared" si="4"/>
        <v>6.2465753424657526</v>
      </c>
      <c r="K107" s="2">
        <f t="shared" si="7"/>
        <v>106.24657534246576</v>
      </c>
      <c r="L107" s="2">
        <f t="shared" si="5"/>
        <v>0.38000000000000006</v>
      </c>
    </row>
    <row r="108" spans="1:12" x14ac:dyDescent="0.25">
      <c r="A108" t="str">
        <f>+[1]Condiciones!$B$72</f>
        <v>No Distingue</v>
      </c>
      <c r="B108" s="1">
        <v>100</v>
      </c>
      <c r="C108" t="str">
        <f>+[1]Condiciones!$C$72</f>
        <v>PROCAMPO</v>
      </c>
      <c r="D108" t="s">
        <v>14</v>
      </c>
      <c r="E108" t="s">
        <v>15</v>
      </c>
      <c r="F108">
        <f>+[1]Condiciones!$U$65</f>
        <v>90</v>
      </c>
      <c r="G108" t="str">
        <f>+[1]Condiciones!$A$72</f>
        <v>$</v>
      </c>
      <c r="H108">
        <f>+[1]Condiciones!$Y$68</f>
        <v>0.38</v>
      </c>
      <c r="I108">
        <f t="shared" si="6"/>
        <v>0</v>
      </c>
      <c r="J108">
        <f t="shared" si="4"/>
        <v>9.3698630136986303</v>
      </c>
      <c r="K108" s="2">
        <f t="shared" si="7"/>
        <v>109.36986301369862</v>
      </c>
      <c r="L108" s="2">
        <f t="shared" si="5"/>
        <v>0.37999999999999956</v>
      </c>
    </row>
    <row r="109" spans="1:12" x14ac:dyDescent="0.25">
      <c r="A109" t="str">
        <f>+[1]Condiciones!$B$72</f>
        <v>No Distingue</v>
      </c>
      <c r="B109" s="1">
        <v>100</v>
      </c>
      <c r="C109" t="str">
        <f>+[1]Condiciones!$C$72</f>
        <v>PROCAMPO</v>
      </c>
      <c r="D109" t="s">
        <v>14</v>
      </c>
      <c r="E109" t="s">
        <v>15</v>
      </c>
      <c r="F109">
        <f>+[1]Condiciones!$V$65</f>
        <v>180</v>
      </c>
      <c r="G109" t="str">
        <f>+[1]Condiciones!$A$72</f>
        <v>$</v>
      </c>
      <c r="H109">
        <f>+[1]Condiciones!$Y$68</f>
        <v>0.38</v>
      </c>
      <c r="I109">
        <f t="shared" si="6"/>
        <v>0</v>
      </c>
      <c r="J109">
        <f t="shared" si="4"/>
        <v>18.739726027397261</v>
      </c>
      <c r="K109" s="2">
        <f t="shared" si="7"/>
        <v>118.73972602739727</v>
      </c>
      <c r="L109" s="2">
        <f t="shared" si="5"/>
        <v>0.38000000000000006</v>
      </c>
    </row>
    <row r="110" spans="1:12" x14ac:dyDescent="0.25">
      <c r="A110" t="str">
        <f>+[1]Condiciones!$B$72</f>
        <v>No Distingue</v>
      </c>
      <c r="B110" s="1">
        <v>100</v>
      </c>
      <c r="C110" t="str">
        <f>+[1]Condiciones!$C$72</f>
        <v>PROCAMPO</v>
      </c>
      <c r="D110" t="s">
        <v>14</v>
      </c>
      <c r="E110" t="s">
        <v>15</v>
      </c>
      <c r="F110">
        <f>+[1]Condiciones!$W$65</f>
        <v>270</v>
      </c>
      <c r="G110" t="str">
        <f>+[1]Condiciones!$A$72</f>
        <v>$</v>
      </c>
      <c r="H110">
        <f>+[1]Condiciones!$Y$68</f>
        <v>0.38</v>
      </c>
      <c r="I110">
        <f t="shared" si="6"/>
        <v>0</v>
      </c>
      <c r="J110">
        <f t="shared" si="4"/>
        <v>28.109589041095891</v>
      </c>
      <c r="K110" s="2">
        <f t="shared" si="7"/>
        <v>128.10958904109589</v>
      </c>
      <c r="L110" s="2">
        <f t="shared" si="5"/>
        <v>0.37999999999999989</v>
      </c>
    </row>
    <row r="111" spans="1:12" x14ac:dyDescent="0.25">
      <c r="A111" t="str">
        <f>+[1]Condiciones!$B$72</f>
        <v>No Distingue</v>
      </c>
      <c r="B111" s="1">
        <v>100</v>
      </c>
      <c r="C111" t="str">
        <f>+[1]Condiciones!$C$72</f>
        <v>PROCAMPO</v>
      </c>
      <c r="D111" t="s">
        <v>14</v>
      </c>
      <c r="E111" t="s">
        <v>15</v>
      </c>
      <c r="F111">
        <f>+[1]Condiciones!$X$65</f>
        <v>360</v>
      </c>
      <c r="G111" t="str">
        <f>+[1]Condiciones!$A$72</f>
        <v>$</v>
      </c>
      <c r="H111">
        <f>+[1]Condiciones!$Y$68</f>
        <v>0.38</v>
      </c>
      <c r="I111">
        <f t="shared" si="6"/>
        <v>0</v>
      </c>
      <c r="J111">
        <f t="shared" si="4"/>
        <v>37.479452054794521</v>
      </c>
      <c r="K111" s="2">
        <f t="shared" si="7"/>
        <v>137.47945205479454</v>
      </c>
      <c r="L111" s="2">
        <f t="shared" si="5"/>
        <v>0.38000000000000006</v>
      </c>
    </row>
    <row r="112" spans="1:12" x14ac:dyDescent="0.25">
      <c r="A112" t="str">
        <f>+[1]Condiciones!$B$81</f>
        <v>No Distingue</v>
      </c>
      <c r="B112" s="1">
        <v>100</v>
      </c>
      <c r="C112" t="str">
        <f>+[1]Condiciones!$C$81</f>
        <v>AGRONACIÓN</v>
      </c>
      <c r="D112" t="s">
        <v>14</v>
      </c>
      <c r="E112" t="s">
        <v>15</v>
      </c>
      <c r="F112">
        <f>+[1]Condiciones!$T$65</f>
        <v>60</v>
      </c>
      <c r="G112" t="str">
        <f>+[1]Condiciones!$A$81</f>
        <v>$</v>
      </c>
      <c r="H112">
        <f>+[1]Condiciones!$Y$69</f>
        <v>0.3</v>
      </c>
      <c r="I112">
        <f t="shared" si="6"/>
        <v>0</v>
      </c>
      <c r="J112">
        <f t="shared" si="4"/>
        <v>4.9315068493150687</v>
      </c>
      <c r="K112" s="2">
        <f t="shared" si="7"/>
        <v>104.93150684931507</v>
      </c>
      <c r="L112" s="2">
        <f t="shared" si="5"/>
        <v>0.30000000000000016</v>
      </c>
    </row>
    <row r="113" spans="1:12" x14ac:dyDescent="0.25">
      <c r="A113" t="str">
        <f>+[1]Condiciones!$B$81</f>
        <v>No Distingue</v>
      </c>
      <c r="B113" s="1">
        <v>100</v>
      </c>
      <c r="C113" t="str">
        <f>+[1]Condiciones!$C$81</f>
        <v>AGRONACIÓN</v>
      </c>
      <c r="D113" t="s">
        <v>14</v>
      </c>
      <c r="E113" t="s">
        <v>15</v>
      </c>
      <c r="F113">
        <f>+[1]Condiciones!$U$65</f>
        <v>90</v>
      </c>
      <c r="G113" t="str">
        <f>+[1]Condiciones!$A$81</f>
        <v>$</v>
      </c>
      <c r="H113">
        <f>+[1]Condiciones!$Y$69</f>
        <v>0.3</v>
      </c>
      <c r="I113">
        <f t="shared" si="6"/>
        <v>0</v>
      </c>
      <c r="J113">
        <f t="shared" si="4"/>
        <v>7.397260273972603</v>
      </c>
      <c r="K113" s="2">
        <f t="shared" si="7"/>
        <v>107.39726027397261</v>
      </c>
      <c r="L113" s="2">
        <f t="shared" si="5"/>
        <v>0.30000000000000016</v>
      </c>
    </row>
    <row r="114" spans="1:12" x14ac:dyDescent="0.25">
      <c r="A114" t="str">
        <f>+[1]Condiciones!$B$81</f>
        <v>No Distingue</v>
      </c>
      <c r="B114" s="1">
        <v>100</v>
      </c>
      <c r="C114" t="str">
        <f>+[1]Condiciones!$C$81</f>
        <v>AGRONACIÓN</v>
      </c>
      <c r="D114" t="s">
        <v>14</v>
      </c>
      <c r="E114" t="s">
        <v>15</v>
      </c>
      <c r="F114">
        <f>+[1]Condiciones!$V$65</f>
        <v>180</v>
      </c>
      <c r="G114" t="str">
        <f>+[1]Condiciones!$A$81</f>
        <v>$</v>
      </c>
      <c r="H114">
        <f>+[1]Condiciones!$Y$69</f>
        <v>0.3</v>
      </c>
      <c r="I114">
        <f t="shared" si="6"/>
        <v>0</v>
      </c>
      <c r="J114">
        <f t="shared" si="4"/>
        <v>14.794520547945206</v>
      </c>
      <c r="K114" s="2">
        <f t="shared" si="7"/>
        <v>114.79452054794521</v>
      </c>
      <c r="L114" s="2">
        <f t="shared" si="5"/>
        <v>0.30000000000000016</v>
      </c>
    </row>
    <row r="115" spans="1:12" x14ac:dyDescent="0.25">
      <c r="A115" t="str">
        <f>+[1]Condiciones!$B$81</f>
        <v>No Distingue</v>
      </c>
      <c r="B115" s="1">
        <v>100</v>
      </c>
      <c r="C115" t="str">
        <f>+[1]Condiciones!$C$81</f>
        <v>AGRONACIÓN</v>
      </c>
      <c r="D115" t="s">
        <v>14</v>
      </c>
      <c r="E115" t="s">
        <v>15</v>
      </c>
      <c r="F115">
        <f>+[1]Condiciones!$W$65</f>
        <v>270</v>
      </c>
      <c r="G115" t="str">
        <f>+[1]Condiciones!$A$81</f>
        <v>$</v>
      </c>
      <c r="H115">
        <f>+[1]Condiciones!$Y$69</f>
        <v>0.3</v>
      </c>
      <c r="I115">
        <f t="shared" si="6"/>
        <v>0</v>
      </c>
      <c r="J115">
        <f t="shared" si="4"/>
        <v>22.191780821917806</v>
      </c>
      <c r="K115" s="2">
        <f t="shared" si="7"/>
        <v>122.19178082191782</v>
      </c>
      <c r="L115" s="2">
        <f t="shared" si="5"/>
        <v>0.30000000000000016</v>
      </c>
    </row>
    <row r="116" spans="1:12" x14ac:dyDescent="0.25">
      <c r="A116" t="str">
        <f>+[1]Condiciones!$B$81</f>
        <v>No Distingue</v>
      </c>
      <c r="B116" s="1">
        <v>100</v>
      </c>
      <c r="C116" t="str">
        <f>+[1]Condiciones!$C$81</f>
        <v>AGRONACIÓN</v>
      </c>
      <c r="D116" t="s">
        <v>14</v>
      </c>
      <c r="E116" t="s">
        <v>15</v>
      </c>
      <c r="F116">
        <f>+[1]Condiciones!$X$65</f>
        <v>360</v>
      </c>
      <c r="G116" t="str">
        <f>+[1]Condiciones!$A$81</f>
        <v>$</v>
      </c>
      <c r="H116">
        <f>+[1]Condiciones!$Y$69</f>
        <v>0.3</v>
      </c>
      <c r="I116">
        <f t="shared" si="6"/>
        <v>0</v>
      </c>
      <c r="J116">
        <f t="shared" si="4"/>
        <v>29.589041095890412</v>
      </c>
      <c r="K116" s="2">
        <f t="shared" si="7"/>
        <v>129.58904109589042</v>
      </c>
      <c r="L116" s="2">
        <f t="shared" si="5"/>
        <v>0.30000000000000016</v>
      </c>
    </row>
    <row r="117" spans="1:12" x14ac:dyDescent="0.25">
      <c r="A117" t="str">
        <f>+[1]Condiciones!$B$80</f>
        <v>No Distingue</v>
      </c>
      <c r="B117" s="1">
        <v>100</v>
      </c>
      <c r="C117" t="str">
        <f>+[1]Condiciones!$C$80</f>
        <v>AGROCABAL</v>
      </c>
      <c r="D117" t="s">
        <v>14</v>
      </c>
      <c r="E117" t="s">
        <v>15</v>
      </c>
      <c r="F117">
        <f>+[1]Condiciones!$T$65</f>
        <v>60</v>
      </c>
      <c r="G117" t="str">
        <f>+[1]Condiciones!$A$80</f>
        <v>$</v>
      </c>
      <c r="H117">
        <f>+[1]Condiciones!$Y$70</f>
        <v>0.49</v>
      </c>
      <c r="I117">
        <f t="shared" si="6"/>
        <v>0</v>
      </c>
      <c r="J117">
        <f t="shared" si="4"/>
        <v>8.0547945205479454</v>
      </c>
      <c r="K117" s="2">
        <f t="shared" si="7"/>
        <v>108.05479452054794</v>
      </c>
      <c r="L117" s="2">
        <f t="shared" si="5"/>
        <v>0.48999999999999949</v>
      </c>
    </row>
    <row r="118" spans="1:12" x14ac:dyDescent="0.25">
      <c r="A118" t="str">
        <f>+[1]Condiciones!$B$80</f>
        <v>No Distingue</v>
      </c>
      <c r="B118" s="1">
        <v>100</v>
      </c>
      <c r="C118" t="str">
        <f>+[1]Condiciones!$C$80</f>
        <v>AGROCABAL</v>
      </c>
      <c r="D118" t="s">
        <v>14</v>
      </c>
      <c r="E118" t="s">
        <v>15</v>
      </c>
      <c r="F118">
        <f>+[1]Condiciones!$U$65</f>
        <v>90</v>
      </c>
      <c r="G118" t="str">
        <f>+[1]Condiciones!$A$80</f>
        <v>$</v>
      </c>
      <c r="H118">
        <f>+[1]Condiciones!$Y$70</f>
        <v>0.49</v>
      </c>
      <c r="I118">
        <f t="shared" si="6"/>
        <v>0</v>
      </c>
      <c r="J118">
        <f t="shared" si="4"/>
        <v>12.082191780821917</v>
      </c>
      <c r="K118" s="2">
        <f t="shared" si="7"/>
        <v>112.08219178082193</v>
      </c>
      <c r="L118" s="2">
        <f t="shared" si="5"/>
        <v>0.49000000000000038</v>
      </c>
    </row>
    <row r="119" spans="1:12" x14ac:dyDescent="0.25">
      <c r="A119" t="str">
        <f>+[1]Condiciones!$B$80</f>
        <v>No Distingue</v>
      </c>
      <c r="B119" s="1">
        <v>100</v>
      </c>
      <c r="C119" t="str">
        <f>+[1]Condiciones!$C$80</f>
        <v>AGROCABAL</v>
      </c>
      <c r="D119" t="s">
        <v>14</v>
      </c>
      <c r="E119" t="s">
        <v>15</v>
      </c>
      <c r="F119">
        <f>+[1]Condiciones!$V$65</f>
        <v>180</v>
      </c>
      <c r="G119" t="str">
        <f>+[1]Condiciones!$A$80</f>
        <v>$</v>
      </c>
      <c r="H119">
        <f>+[1]Condiciones!$Y$70</f>
        <v>0.49</v>
      </c>
      <c r="I119">
        <f t="shared" si="6"/>
        <v>0</v>
      </c>
      <c r="J119">
        <f t="shared" si="4"/>
        <v>24.164383561643834</v>
      </c>
      <c r="K119" s="2">
        <f t="shared" si="7"/>
        <v>124.16438356164383</v>
      </c>
      <c r="L119" s="2">
        <f t="shared" si="5"/>
        <v>0.48999999999999988</v>
      </c>
    </row>
    <row r="120" spans="1:12" x14ac:dyDescent="0.25">
      <c r="A120" t="str">
        <f>+[1]Condiciones!$B$80</f>
        <v>No Distingue</v>
      </c>
      <c r="B120" s="1">
        <v>100</v>
      </c>
      <c r="C120" t="str">
        <f>+[1]Condiciones!$C$80</f>
        <v>AGROCABAL</v>
      </c>
      <c r="D120" t="s">
        <v>14</v>
      </c>
      <c r="E120" t="s">
        <v>15</v>
      </c>
      <c r="F120">
        <f>+[1]Condiciones!$W$65</f>
        <v>270</v>
      </c>
      <c r="G120" t="str">
        <f>+[1]Condiciones!$A$80</f>
        <v>$</v>
      </c>
      <c r="H120">
        <f>+[1]Condiciones!$Y$70</f>
        <v>0.49</v>
      </c>
      <c r="I120">
        <f t="shared" si="6"/>
        <v>0</v>
      </c>
      <c r="J120">
        <f t="shared" si="4"/>
        <v>36.246575342465754</v>
      </c>
      <c r="K120" s="2">
        <f t="shared" si="7"/>
        <v>136.24657534246575</v>
      </c>
      <c r="L120" s="2">
        <f t="shared" si="5"/>
        <v>0.48999999999999982</v>
      </c>
    </row>
    <row r="121" spans="1:12" x14ac:dyDescent="0.25">
      <c r="A121" t="str">
        <f>+[1]Condiciones!$B$80</f>
        <v>No Distingue</v>
      </c>
      <c r="B121" s="1">
        <v>100</v>
      </c>
      <c r="C121" t="str">
        <f>+[1]Condiciones!$C$80</f>
        <v>AGROCABAL</v>
      </c>
      <c r="D121" t="s">
        <v>14</v>
      </c>
      <c r="E121" t="s">
        <v>15</v>
      </c>
      <c r="F121">
        <f>+[1]Condiciones!$X$65</f>
        <v>360</v>
      </c>
      <c r="G121" t="str">
        <f>+[1]Condiciones!$A$80</f>
        <v>$</v>
      </c>
      <c r="H121">
        <f>+[1]Condiciones!$Y$70</f>
        <v>0.49</v>
      </c>
      <c r="I121">
        <f t="shared" si="6"/>
        <v>0</v>
      </c>
      <c r="J121">
        <f t="shared" si="4"/>
        <v>48.328767123287669</v>
      </c>
      <c r="K121" s="2">
        <f t="shared" si="7"/>
        <v>148.32876712328766</v>
      </c>
      <c r="L121" s="2">
        <f t="shared" si="5"/>
        <v>0.48999999999999988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Acebo</dc:creator>
  <cp:lastModifiedBy>Nicolas Acebo</cp:lastModifiedBy>
  <dcterms:created xsi:type="dcterms:W3CDTF">2025-06-27T16:58:20Z</dcterms:created>
  <dcterms:modified xsi:type="dcterms:W3CDTF">2026-01-02T14:10:14Z</dcterms:modified>
</cp:coreProperties>
</file>